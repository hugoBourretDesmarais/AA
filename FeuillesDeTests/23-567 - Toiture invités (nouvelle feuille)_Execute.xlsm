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P:\02-Soumission\Soumissions 2023\23-567 MS (Toitures résidence Bussières)\Feuille Calcul\"/>
    </mc:Choice>
  </mc:AlternateContent>
  <xr:revisionPtr revIDLastSave="0" documentId="13_ncr:1_{A03CABC3-0483-4EFC-A91D-6F4F882F62E6}" xr6:coauthVersionLast="47" xr6:coauthVersionMax="47" xr10:uidLastSave="{00000000-0000-0000-0000-000000000000}"/>
  <bookViews>
    <workbookView xWindow="28680" yWindow="-120" windowWidth="29040" windowHeight="15720" tabRatio="605" xr2:uid="{00000000-000D-0000-FFFF-FFFF00000000}"/>
  </bookViews>
  <sheets>
    <sheet name="Feuille Calcul" sheetId="5" r:id="rId1"/>
    <sheet name="Soumission" sheetId="6" r:id="rId2"/>
    <sheet name="!" sheetId="7" state="hidden" r:id="rId3"/>
    <sheet name="Utilitaires" sheetId="9" r:id="rId4"/>
    <sheet name="Sommaire" sheetId="10" r:id="rId5"/>
    <sheet name="ListeClient" sheetId="8" state="hidden" r:id="rId6"/>
  </sheets>
  <functionGroups builtInGroupCount="19"/>
  <definedNames>
    <definedName name="_xlnm._FilterDatabase" localSheetId="0" hidden="1">'Feuille Calcul'!$A$1:$IB$72</definedName>
    <definedName name="ADMIN">'Feuille Calcul'!$K$56</definedName>
    <definedName name="ADMPro">'Feuille Calcul'!$K$67</definedName>
    <definedName name="Adresse" localSheetId="5">ListeClient!$C:$C</definedName>
    <definedName name="C.P">'Feuille Calcul'!$K$65</definedName>
    <definedName name="Fax" localSheetId="5">ListeClient!$F:$F</definedName>
    <definedName name="FraisDeplacement">'Feuille Calcul'!$K$60</definedName>
    <definedName name="GrandTotal">'Feuille Calcul'!$K$69</definedName>
    <definedName name="Heures">'Feuille Calcul'!$D$69</definedName>
    <definedName name="JourHomme">'Feuille Calcul'!$C$70</definedName>
    <definedName name="Jours">'Feuille Calcul'!$C$69</definedName>
    <definedName name="Liste_Client" localSheetId="5">ListeClient!$B:$B</definedName>
    <definedName name="LivraisonFournisseur">'Feuille Calcul'!$K$6</definedName>
    <definedName name="Machinerie">'Feuille Calcul'!$K$62</definedName>
    <definedName name="Mobilisation">'Feuille Calcul'!$K$59</definedName>
    <definedName name="No._Téléphone" localSheetId="5">ListeClient!$E:$E</definedName>
    <definedName name="Outils">'Feuille Calcul'!$K$58</definedName>
    <definedName name="Pliage">'Feuille Calcul'!$K$44</definedName>
    <definedName name="Remorquage">'Feuille Calcul'!$K$61</definedName>
    <definedName name="Scellant">'Feuille Calcul'!$K$45</definedName>
    <definedName name="SousTotal">'Feuille Calcul'!$K$66</definedName>
    <definedName name="TotalInstallation">'Feuille Calcul'!$H$69</definedName>
    <definedName name="Transport">'Feuille Calcul'!$K$47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8" i="5" l="1"/>
  <c r="K16" i="5"/>
  <c r="K14" i="5"/>
  <c r="K12" i="5"/>
  <c r="K42" i="5"/>
  <c r="K15" i="5"/>
  <c r="K17" i="5"/>
  <c r="K19" i="5"/>
  <c r="I19" i="5"/>
  <c r="I17" i="5"/>
  <c r="D69" i="5"/>
  <c r="Q2" i="10" s="1"/>
  <c r="H6" i="6"/>
  <c r="D2" i="10"/>
  <c r="K2" i="10"/>
  <c r="M2" i="10"/>
  <c r="J2" i="10"/>
  <c r="C2" i="10"/>
  <c r="B2" i="10"/>
  <c r="H64" i="5"/>
  <c r="H3" i="6" l="1"/>
  <c r="H70" i="5" l="1"/>
  <c r="C70" i="5"/>
  <c r="R2" i="10" s="1"/>
  <c r="H58" i="5" l="1"/>
  <c r="C69" i="5"/>
  <c r="I20" i="5"/>
  <c r="K20" i="5"/>
  <c r="I16" i="5"/>
  <c r="L2" i="10" l="1"/>
  <c r="P2" i="10"/>
  <c r="K24" i="5"/>
  <c r="K35" i="5"/>
  <c r="I15" i="5"/>
  <c r="I13" i="5"/>
  <c r="I11" i="5"/>
  <c r="I9" i="5"/>
  <c r="I21" i="5"/>
  <c r="I12" i="5"/>
  <c r="I10" i="5"/>
  <c r="I8" i="5" l="1"/>
  <c r="I3" i="5" l="1"/>
  <c r="A2" i="10" s="1"/>
  <c r="H68" i="5" l="1"/>
  <c r="H62" i="5"/>
  <c r="H61" i="5"/>
  <c r="H60" i="5"/>
  <c r="K55" i="5"/>
  <c r="K54" i="5"/>
  <c r="K53" i="5"/>
  <c r="K52" i="5"/>
  <c r="K51" i="5"/>
  <c r="K50" i="5"/>
  <c r="K49" i="5"/>
  <c r="K48" i="5"/>
  <c r="K47" i="5"/>
  <c r="E2" i="10" s="1"/>
  <c r="K46" i="5"/>
  <c r="K45" i="5"/>
  <c r="G2" i="10" s="1"/>
  <c r="K44" i="5"/>
  <c r="F2" i="10" s="1"/>
  <c r="K43" i="5"/>
  <c r="K41" i="5"/>
  <c r="K40" i="5"/>
  <c r="K39" i="5"/>
  <c r="K37" i="5"/>
  <c r="K36" i="5"/>
  <c r="K34" i="5"/>
  <c r="K32" i="5"/>
  <c r="K31" i="5"/>
  <c r="K30" i="5"/>
  <c r="K29" i="5"/>
  <c r="K28" i="5"/>
  <c r="K26" i="5"/>
  <c r="K25" i="5"/>
  <c r="K23" i="5"/>
  <c r="K21" i="5"/>
  <c r="K13" i="5"/>
  <c r="K11" i="5"/>
  <c r="K10" i="5"/>
  <c r="K9" i="5"/>
  <c r="K8" i="5"/>
  <c r="K57" i="5" l="1"/>
  <c r="H66" i="5"/>
  <c r="H67" i="5"/>
  <c r="H63" i="5"/>
  <c r="H65" i="5"/>
  <c r="H59" i="5" l="1"/>
  <c r="H69" i="5" s="1"/>
  <c r="K58" i="5" l="1"/>
  <c r="K65" i="5" s="1"/>
  <c r="N2" i="10" s="1"/>
  <c r="T2" i="10"/>
  <c r="K56" i="5" l="1"/>
  <c r="K66" i="5" s="1"/>
  <c r="I2" i="10"/>
  <c r="H2" i="10" l="1"/>
  <c r="K67" i="5"/>
  <c r="S2" i="10"/>
  <c r="K68" i="5" l="1"/>
  <c r="K69" i="5" s="1"/>
  <c r="K70" i="5" s="1"/>
  <c r="O2" i="10"/>
  <c r="F45" i="6" l="1"/>
  <c r="U2" i="10"/>
  <c r="D44" i="6"/>
</calcChain>
</file>

<file path=xl/sharedStrings.xml><?xml version="1.0" encoding="utf-8"?>
<sst xmlns="http://schemas.openxmlformats.org/spreadsheetml/2006/main" count="265" uniqueCount="232">
  <si>
    <t>Total</t>
  </si>
  <si>
    <t>Sous Total:</t>
  </si>
  <si>
    <t>ESTIMATION DES COÛTS</t>
  </si>
  <si>
    <t>Prix</t>
  </si>
  <si>
    <t>Scellant</t>
  </si>
  <si>
    <t>MOULURES</t>
  </si>
  <si>
    <t>Hrs/Jrs</t>
  </si>
  <si>
    <t>Taux</t>
  </si>
  <si>
    <t>Coût</t>
  </si>
  <si>
    <t>INSTALLATION</t>
  </si>
  <si>
    <t>MATÉRIAUX</t>
  </si>
  <si>
    <t>Dessin d'atelier</t>
  </si>
  <si>
    <t>Mobilisation</t>
  </si>
  <si>
    <t>DIVERS</t>
  </si>
  <si>
    <t>Outils</t>
  </si>
  <si>
    <t>Projet:</t>
  </si>
  <si>
    <t>Téléphone</t>
  </si>
  <si>
    <t>Adr Projet:</t>
  </si>
  <si>
    <t>Plan:</t>
  </si>
  <si>
    <t>Bonjour,</t>
  </si>
  <si>
    <t>Travaux Non-inclus:</t>
  </si>
  <si>
    <t>Le tout au montant de :</t>
  </si>
  <si>
    <t>BSDQ</t>
  </si>
  <si>
    <t>Non</t>
  </si>
  <si>
    <t>Oui</t>
  </si>
  <si>
    <t>Adresse</t>
  </si>
  <si>
    <t>Fax</t>
  </si>
  <si>
    <t>Client</t>
  </si>
  <si>
    <t>819-564-3178</t>
  </si>
  <si>
    <t>info@aluminiumascot.com</t>
  </si>
  <si>
    <t>●</t>
  </si>
  <si>
    <t>Cette soumission est valide 30 jours.</t>
  </si>
  <si>
    <t>courriel</t>
  </si>
  <si>
    <t>R.B.Q. 2630-5417-36</t>
  </si>
  <si>
    <t>Signature Client</t>
  </si>
  <si>
    <t>T: 819-562-6583  F:819-823-2338</t>
  </si>
  <si>
    <t>Rés.</t>
  </si>
  <si>
    <t>Grand Total</t>
  </si>
  <si>
    <t>Total Installation:</t>
  </si>
  <si>
    <t>Type Job</t>
  </si>
  <si>
    <t>Rés. L</t>
  </si>
  <si>
    <t>Toit. C</t>
  </si>
  <si>
    <t>Toit. R</t>
  </si>
  <si>
    <t>ADM/Pro</t>
  </si>
  <si>
    <t>C.P.</t>
  </si>
  <si>
    <t>Prix Nég.</t>
  </si>
  <si>
    <t>Four.</t>
  </si>
  <si>
    <t>Dif.</t>
  </si>
  <si>
    <t>pi²:</t>
  </si>
  <si>
    <t>Contacte</t>
  </si>
  <si>
    <t>Cellulaire</t>
  </si>
  <si>
    <t>Com</t>
  </si>
  <si>
    <t>Rép.</t>
  </si>
  <si>
    <t>Pliage</t>
  </si>
  <si>
    <t>Perte</t>
  </si>
  <si>
    <t>A.E.R.M.Q./CSST/Plan - 3,75%</t>
  </si>
  <si>
    <t>Total:</t>
  </si>
  <si>
    <t>Jour Homme:</t>
  </si>
  <si>
    <t>Adresse :</t>
  </si>
  <si>
    <t>Plans:</t>
  </si>
  <si>
    <t>Entrepreneur Généraux</t>
  </si>
  <si>
    <t>Construction Gératek</t>
  </si>
  <si>
    <t>Comco entrepreneurs en bâtiment</t>
  </si>
  <si>
    <t>3990 Boul. Industriel, Sherbrooke, Qc J1L 2T8</t>
  </si>
  <si>
    <t>819-820-2220</t>
  </si>
  <si>
    <t>Construction Bertrand Dionne</t>
  </si>
  <si>
    <t>1555 Rue Janelle, drummondville, Qc J2C 5S5</t>
  </si>
  <si>
    <t>819-472-2559</t>
  </si>
  <si>
    <t>819-474-3619</t>
  </si>
  <si>
    <t>Construction Bois Francs</t>
  </si>
  <si>
    <t>115 Rue J.-Aurèle-Roux, Victoriaville, Qc G6T 0N6</t>
  </si>
  <si>
    <t>819-758-3020</t>
  </si>
  <si>
    <t>819-758-5501</t>
  </si>
  <si>
    <t>Construction Carl Lapointe</t>
  </si>
  <si>
    <t>230 10e avenue sud,Sherbrooke, Qc J1G 2R5</t>
  </si>
  <si>
    <t>Construction de l'estrie</t>
  </si>
  <si>
    <t>7540 Boulevard Bourque, Sherbrooke, Qc J1N 3K2</t>
  </si>
  <si>
    <t>819-212-1792</t>
  </si>
  <si>
    <t>535 Rue Pépin, Sherbrooke, Qc J1L 1X3</t>
  </si>
  <si>
    <t>819-564-2933</t>
  </si>
  <si>
    <t>819-569-0361</t>
  </si>
  <si>
    <t>Construction Harmonie</t>
  </si>
  <si>
    <t>109 Rue Caroline, Saint-Alphonse-de-Granby, Qc J0E 2A0</t>
  </si>
  <si>
    <t>450-775-9777</t>
  </si>
  <si>
    <t>Construction Hatley</t>
  </si>
  <si>
    <t>2390 Rue Principale Ouest, Magog J1X 0J1</t>
  </si>
  <si>
    <t>819-843-1212</t>
  </si>
  <si>
    <t>819-843-4754</t>
  </si>
  <si>
    <t>Construction Intramax inc.</t>
  </si>
  <si>
    <t>777 rue de Bromont, Lac Mercier, QC J6R 0A1</t>
  </si>
  <si>
    <t>450-699-5915</t>
  </si>
  <si>
    <t>Construction Longer</t>
  </si>
  <si>
    <t>175 Rue Léger, Sherbrooke, Qc J1L 1M2</t>
  </si>
  <si>
    <t>819-564-0116</t>
  </si>
  <si>
    <t>Construction Marcel H. Leroux</t>
  </si>
  <si>
    <t>7136 Chemin Saint-Élie, Sherbrooke, Qc J1R 0K5</t>
  </si>
  <si>
    <t>819-564-2422</t>
  </si>
  <si>
    <t>819-564-3195</t>
  </si>
  <si>
    <t>Construction Memphré</t>
  </si>
  <si>
    <t>17 rue Jacinthe, Ste-Catherine-de-Hatley (Québec)  J0B 1W0</t>
  </si>
  <si>
    <t>819-238-3240</t>
  </si>
  <si>
    <t>Construction Olivier Lyonnais</t>
  </si>
  <si>
    <t>4291 Route 112, Ascot Corner, Qc J0B 1A0</t>
  </si>
  <si>
    <t>819-566-2229</t>
  </si>
  <si>
    <t>819-566-3822</t>
  </si>
  <si>
    <t>Construction PLAD</t>
  </si>
  <si>
    <t>1020 Rue Longpré, Sherbrooke, Qc J1G 5B9</t>
  </si>
  <si>
    <t>819-569-3557</t>
  </si>
  <si>
    <t>Construction Vincent</t>
  </si>
  <si>
    <t>928 Gustave Flaubert, Sherbrooke Qc J1L 0H2</t>
  </si>
  <si>
    <t>819-821-0708</t>
  </si>
  <si>
    <t>Construction Yves Lessard</t>
  </si>
  <si>
    <t>19 Rue Vaudry, Sherbrooke, Qc J1M 1A8</t>
  </si>
  <si>
    <t>819-346-8581</t>
  </si>
  <si>
    <t>819-820-1187</t>
  </si>
  <si>
    <t>Constructionn et rénovation Jérémie Houle</t>
  </si>
  <si>
    <t>4037 rue de l'imperiale,Sherbrooke, Qc J1N 0L8</t>
  </si>
  <si>
    <t>819-575-6730</t>
  </si>
  <si>
    <t>819-575-6113</t>
  </si>
  <si>
    <t>Constructions Christian Belleau</t>
  </si>
  <si>
    <t>1167 Rue des Coeurs-des-Indes, Sherbrooke, QC J1E 0J2</t>
  </si>
  <si>
    <t>819-562-6767</t>
  </si>
  <si>
    <t>Constructions Guy Sébas</t>
  </si>
  <si>
    <t>4420 Rue Robitaille, Sherbrooke, Qc J1L 0B5</t>
  </si>
  <si>
    <t>819-566-7699</t>
  </si>
  <si>
    <t>Gestion Construction Girel inc.</t>
  </si>
  <si>
    <t>1602 Avenue Saint-Paul, Saint-Césaire, QC J0L 1T0</t>
  </si>
  <si>
    <t>450-469-3449</t>
  </si>
  <si>
    <t xml:space="preserve">Gilles Patry </t>
  </si>
  <si>
    <t>805 CH D'Ayers Cliff, Sainte Catherine-de-Hatley, Qc J0B 1W0</t>
  </si>
  <si>
    <t>819-829-0989</t>
  </si>
  <si>
    <t>Groupe Gagné Construction</t>
  </si>
  <si>
    <t>22 Rue des Affaires, Saint-Christophe-d'Arthabaska, Qc G6R 0B2</t>
  </si>
  <si>
    <t>819-809-2270</t>
  </si>
  <si>
    <t>819-357-9718</t>
  </si>
  <si>
    <t>Les Entreprises Lachance Inc</t>
  </si>
  <si>
    <t>663 Rue de Charlemagne, Sherbrooke, Qc J1N 0S9</t>
  </si>
  <si>
    <t>819-820-1545</t>
  </si>
  <si>
    <t>Maisons Confort Design</t>
  </si>
  <si>
    <t>134 Rue des Érables, Saint-Alphonse-de-Granby, QC J0E 2A0</t>
  </si>
  <si>
    <t>450-361-3777</t>
  </si>
  <si>
    <t>Matom Construction</t>
  </si>
  <si>
    <t>581 Rue Meilleur, Sherbrooke Qc J1J 2P4</t>
  </si>
  <si>
    <t>819-572-1011</t>
  </si>
  <si>
    <t>Pépin Fortin Construction</t>
  </si>
  <si>
    <t>372 Avenue Pie X, Saint-Christophe-d'Arthabaska, QC G6R 0M2</t>
  </si>
  <si>
    <t>819-357-9274</t>
  </si>
  <si>
    <t>Roger Leclerc Construction</t>
  </si>
  <si>
    <t>2463 Rue de l'Ivoire, Sherbrooke, QC J1N 3V7</t>
  </si>
  <si>
    <t>819-566-7879</t>
  </si>
  <si>
    <t>S.P. Construction Estrie Inc.</t>
  </si>
  <si>
    <t>1915 Chemin Godin, Sherbrooke, QC J1R 0H8</t>
  </si>
  <si>
    <t>819-416-5882</t>
  </si>
  <si>
    <t>Tijaro ltd</t>
  </si>
  <si>
    <t>122 avenue de la gravière, Coaticook, Qc J1A 3E6</t>
  </si>
  <si>
    <t>819-849-4995</t>
  </si>
  <si>
    <t>819-849-6514</t>
  </si>
  <si>
    <t>Toiture MAG</t>
  </si>
  <si>
    <t>157, rue Farwell, Sherbrooke, QC J1J 2S4</t>
  </si>
  <si>
    <t>819-566-7880</t>
  </si>
  <si>
    <t xml:space="preserve">Zone Aktul </t>
  </si>
  <si>
    <t>1179 Rue Cœur Des Indes, Sherbrooke, Qc J1E 0J2</t>
  </si>
  <si>
    <t>819-620-7309</t>
  </si>
  <si>
    <t>819-564-8821</t>
  </si>
  <si>
    <t>Courriel:</t>
  </si>
  <si>
    <t>Construction Jean-Pierre Gouin</t>
  </si>
  <si>
    <t>990 Rue Bowen S, Sherbrooke, QC J1G 2G4</t>
  </si>
  <si>
    <t>819-575-0591</t>
  </si>
  <si>
    <t>Adresse:</t>
  </si>
  <si>
    <t>Téléphone:</t>
  </si>
  <si>
    <t>Roger Côté</t>
  </si>
  <si>
    <t>610 Chemin Bouffard, Saint-Denis-de-Brompton</t>
  </si>
  <si>
    <t>Résidence Joelle Naulin</t>
  </si>
  <si>
    <t>Joelle Naulin</t>
  </si>
  <si>
    <t>ALemelin, V1 /Mai 2020</t>
  </si>
  <si>
    <t>4115, boul. Industriel, Sherbrooke (Québec) J1L 2S7</t>
  </si>
  <si>
    <t>Président directeur des ventes</t>
  </si>
  <si>
    <t>Remorquage</t>
  </si>
  <si>
    <t>Machinerie (plafo)</t>
  </si>
  <si>
    <t>$/pi²</t>
  </si>
  <si>
    <t>Acceptation de l'estimé</t>
  </si>
  <si>
    <t>Voici notre soumission pour fournir et installer les matériaux suivants:</t>
  </si>
  <si>
    <t>RC</t>
  </si>
  <si>
    <t>Bien à vous,</t>
  </si>
  <si>
    <t>(Taxes en sus.)</t>
  </si>
  <si>
    <t>Marie St-Pierre</t>
  </si>
  <si>
    <t>Maxime Couture</t>
  </si>
  <si>
    <t>Marie-Dominique Côté</t>
  </si>
  <si>
    <t>Chargé de Projet</t>
  </si>
  <si>
    <t>ID</t>
  </si>
  <si>
    <t>Nom Projet</t>
  </si>
  <si>
    <t>Date</t>
  </si>
  <si>
    <t>Frais Admin</t>
  </si>
  <si>
    <t>Jours</t>
  </si>
  <si>
    <t>Heures</t>
  </si>
  <si>
    <t>Jour Homme</t>
  </si>
  <si>
    <t>Total Installation</t>
  </si>
  <si>
    <t>Frais Dép + Camion</t>
  </si>
  <si>
    <t>Machinerie</t>
  </si>
  <si>
    <t>C.P</t>
  </si>
  <si>
    <t>Livraison Fournisseur</t>
  </si>
  <si>
    <t>Transport</t>
  </si>
  <si>
    <t>Sous Total</t>
  </si>
  <si>
    <t>Sherbrooke le, 21 décembre 2023</t>
  </si>
  <si>
    <t>Long.</t>
  </si>
  <si>
    <t>Couleur</t>
  </si>
  <si>
    <t>Qte (pi²/piL)</t>
  </si>
  <si>
    <t>Liv. fournisseurs</t>
  </si>
  <si>
    <t>VIS</t>
  </si>
  <si>
    <t>ISOLANT</t>
  </si>
  <si>
    <t>Z BARRE</t>
  </si>
  <si>
    <t>REVÊTEMENT</t>
  </si>
  <si>
    <t>Homme</t>
  </si>
  <si>
    <t>Transport Matériaux</t>
  </si>
  <si>
    <t>Prise de mesures</t>
  </si>
  <si>
    <t>Coût au pied carré</t>
  </si>
  <si>
    <t>Cal.</t>
  </si>
  <si>
    <t>Épais.</t>
  </si>
  <si>
    <t>Prise mesures</t>
  </si>
  <si>
    <t>Camion + gaz</t>
  </si>
  <si>
    <t>Frais dép.</t>
  </si>
  <si>
    <t>Acier Sherlock</t>
  </si>
  <si>
    <t>Déroulage</t>
  </si>
  <si>
    <t>Vis Sherlock</t>
  </si>
  <si>
    <t>Flat Sherlock</t>
  </si>
  <si>
    <t>metallique</t>
  </si>
  <si>
    <t>Commission</t>
  </si>
  <si>
    <t>3M 6"</t>
  </si>
  <si>
    <t>Divers</t>
  </si>
  <si>
    <t>Nathalie Bussières</t>
  </si>
  <si>
    <t>Projet : Toiture résidence Bussières - Invités</t>
  </si>
  <si>
    <t>Adresse : 1029 rue Merry Sud, Magog, 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</si>
</sst>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* #,##0.00_)\ &quot;$&quot;_ ;_ * \(#,##0.00\)\ &quot;$&quot;_ ;_ * &quot;-&quot;??_)\ &quot;$&quot;_ ;_ @_ "/>
    <numFmt numFmtId="164" formatCode="[$-F800]dddd\,\ mmmm\ dd\,\ yyyy"/>
    <numFmt numFmtId="165" formatCode="#,##0.00\ &quot;$&quot;"/>
    <numFmt numFmtId="166" formatCode="[&lt;=9999999]###\-####;###\-###\-####"/>
    <numFmt numFmtId="167" formatCode="&quot;$&quot;#,##0.00"/>
  </numFmts>
  <fonts count="33" x14ac:knownFonts="1">
    <font>
      <sz val="10"/>
      <name val="Arial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u/>
      <sz val="12"/>
      <name val="Arial"/>
      <family val="2"/>
    </font>
    <font>
      <sz val="9"/>
      <color theme="1"/>
      <name val="Arial"/>
      <family val="2"/>
    </font>
    <font>
      <b/>
      <sz val="12"/>
      <color theme="0"/>
      <name val="Arial"/>
      <family val="2"/>
    </font>
    <font>
      <sz val="12"/>
      <name val="Calibri"/>
      <family val="2"/>
    </font>
    <font>
      <sz val="12"/>
      <color rgb="FF333333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26"/>
      <name val="Arial"/>
      <family val="2"/>
    </font>
    <font>
      <sz val="16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6"/>
      <name val="Arial"/>
      <family val="2"/>
    </font>
    <font>
      <b/>
      <sz val="13"/>
      <color theme="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1C1E21"/>
      <name val="Arial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222222"/>
      <name val="Arial"/>
      <family val="2"/>
    </font>
    <font>
      <i/>
      <sz val="14"/>
      <color theme="0"/>
      <name val="Arial"/>
      <family val="2"/>
    </font>
    <font>
      <b/>
      <sz val="23"/>
      <color theme="0"/>
      <name val="Arial"/>
      <family val="2"/>
    </font>
    <font>
      <sz val="1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AF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66"/>
        <bgColor indexed="64"/>
      </patternFill>
    </fill>
    <fill>
      <patternFill patternType="solid">
        <fgColor rgb="FF963534"/>
        <bgColor indexed="64"/>
      </patternFill>
    </fill>
    <fill>
      <patternFill patternType="solid">
        <fgColor rgb="FFF7EAE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165816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9" fontId="25" fillId="0" borderId="0" applyFont="0" applyFill="0" applyBorder="0" applyAlignment="0" applyProtection="0"/>
  </cellStyleXfs>
  <cellXfs count="185">
    <xf numFmtId="0" fontId="0" fillId="0" borderId="0" xfId="0"/>
    <xf numFmtId="0" fontId="1" fillId="0" borderId="0" xfId="0" applyFont="1"/>
    <xf numFmtId="0" fontId="1" fillId="0" borderId="0" xfId="0" quotePrefix="1" applyFont="1"/>
    <xf numFmtId="44" fontId="0" fillId="0" borderId="0" xfId="0" applyNumberForma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9" fillId="0" borderId="0" xfId="0" applyFont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horizontal="left" vertical="center"/>
    </xf>
    <xf numFmtId="0" fontId="11" fillId="0" borderId="0" xfId="0" applyFont="1"/>
    <xf numFmtId="44" fontId="10" fillId="0" borderId="0" xfId="0" applyNumberFormat="1" applyFont="1"/>
    <xf numFmtId="44" fontId="10" fillId="0" borderId="0" xfId="1" applyFont="1"/>
    <xf numFmtId="0" fontId="14" fillId="0" borderId="0" xfId="0" applyFont="1" applyAlignment="1">
      <alignment horizontal="right" vertical="top"/>
    </xf>
    <xf numFmtId="0" fontId="15" fillId="0" borderId="0" xfId="0" applyFont="1"/>
    <xf numFmtId="0" fontId="16" fillId="0" borderId="0" xfId="0" applyFont="1"/>
    <xf numFmtId="0" fontId="10" fillId="0" borderId="0" xfId="0" applyFont="1" applyAlignment="1">
      <alignment vertical="center" wrapText="1"/>
    </xf>
    <xf numFmtId="0" fontId="8" fillId="0" borderId="0" xfId="0" applyFont="1"/>
    <xf numFmtId="0" fontId="10" fillId="0" borderId="2" xfId="0" applyFont="1" applyBorder="1"/>
    <xf numFmtId="0" fontId="10" fillId="0" borderId="1" xfId="0" applyFont="1" applyBorder="1"/>
    <xf numFmtId="0" fontId="17" fillId="0" borderId="0" xfId="0" applyFont="1" applyAlignment="1">
      <alignment horizontal="left" vertical="top"/>
    </xf>
    <xf numFmtId="0" fontId="12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164" fontId="10" fillId="0" borderId="0" xfId="0" applyNumberFormat="1" applyFont="1" applyAlignment="1">
      <alignment horizontal="left" vertical="center"/>
    </xf>
    <xf numFmtId="0" fontId="12" fillId="0" borderId="0" xfId="2" applyFont="1" applyFill="1"/>
    <xf numFmtId="0" fontId="4" fillId="0" borderId="0" xfId="0" applyFont="1"/>
    <xf numFmtId="0" fontId="0" fillId="2" borderId="3" xfId="0" applyFill="1" applyBorder="1" applyAlignment="1">
      <alignment horizontal="left"/>
    </xf>
    <xf numFmtId="0" fontId="0" fillId="0" borderId="3" xfId="0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3" xfId="0" applyBorder="1"/>
    <xf numFmtId="0" fontId="1" fillId="2" borderId="3" xfId="0" applyFont="1" applyFill="1" applyBorder="1"/>
    <xf numFmtId="0" fontId="3" fillId="2" borderId="3" xfId="0" applyFont="1" applyFill="1" applyBorder="1" applyAlignment="1">
      <alignment horizontal="left"/>
    </xf>
    <xf numFmtId="0" fontId="1" fillId="0" borderId="3" xfId="0" applyFont="1" applyBorder="1" applyAlignment="1">
      <alignment horizontal="left"/>
    </xf>
    <xf numFmtId="0" fontId="3" fillId="2" borderId="3" xfId="0" applyFont="1" applyFill="1" applyBorder="1"/>
    <xf numFmtId="0" fontId="3" fillId="0" borderId="3" xfId="0" applyFont="1" applyBorder="1" applyAlignment="1">
      <alignment horizontal="left"/>
    </xf>
    <xf numFmtId="0" fontId="1" fillId="0" borderId="3" xfId="0" applyFont="1" applyBorder="1"/>
    <xf numFmtId="0" fontId="0" fillId="2" borderId="3" xfId="0" applyFill="1" applyBorder="1"/>
    <xf numFmtId="0" fontId="6" fillId="2" borderId="3" xfId="0" applyFont="1" applyFill="1" applyBorder="1" applyAlignment="1">
      <alignment horizontal="left"/>
    </xf>
    <xf numFmtId="44" fontId="1" fillId="2" borderId="5" xfId="1" applyFont="1" applyFill="1" applyBorder="1"/>
    <xf numFmtId="44" fontId="0" fillId="2" borderId="6" xfId="1" applyFont="1" applyFill="1" applyBorder="1"/>
    <xf numFmtId="44" fontId="0" fillId="0" borderId="6" xfId="1" applyFont="1" applyFill="1" applyBorder="1"/>
    <xf numFmtId="44" fontId="1" fillId="2" borderId="6" xfId="1" applyFont="1" applyFill="1" applyBorder="1"/>
    <xf numFmtId="44" fontId="1" fillId="0" borderId="6" xfId="1" applyFont="1" applyFill="1" applyBorder="1"/>
    <xf numFmtId="0" fontId="1" fillId="2" borderId="3" xfId="1" applyNumberFormat="1" applyFont="1" applyFill="1" applyBorder="1"/>
    <xf numFmtId="0" fontId="1" fillId="0" borderId="3" xfId="1" applyNumberFormat="1" applyFont="1" applyFill="1" applyBorder="1"/>
    <xf numFmtId="0" fontId="3" fillId="0" borderId="3" xfId="0" applyFont="1" applyBorder="1"/>
    <xf numFmtId="44" fontId="0" fillId="0" borderId="5" xfId="1" applyFont="1" applyFill="1" applyBorder="1" applyAlignment="1">
      <alignment horizontal="center"/>
    </xf>
    <xf numFmtId="44" fontId="0" fillId="2" borderId="5" xfId="1" applyFont="1" applyFill="1" applyBorder="1" applyAlignment="1">
      <alignment horizontal="center"/>
    </xf>
    <xf numFmtId="44" fontId="0" fillId="0" borderId="5" xfId="1" applyFont="1" applyFill="1" applyBorder="1" applyAlignment="1"/>
    <xf numFmtId="44" fontId="5" fillId="0" borderId="5" xfId="1" applyFont="1" applyFill="1" applyBorder="1"/>
    <xf numFmtId="44" fontId="5" fillId="2" borderId="5" xfId="1" applyFont="1" applyFill="1" applyBorder="1"/>
    <xf numFmtId="44" fontId="0" fillId="2" borderId="5" xfId="1" applyFont="1" applyFill="1" applyBorder="1"/>
    <xf numFmtId="44" fontId="0" fillId="0" borderId="5" xfId="1" applyFont="1" applyFill="1" applyBorder="1"/>
    <xf numFmtId="0" fontId="1" fillId="4" borderId="3" xfId="0" applyFont="1" applyFill="1" applyBorder="1" applyAlignment="1">
      <alignment horizontal="center"/>
    </xf>
    <xf numFmtId="44" fontId="0" fillId="2" borderId="5" xfId="1" applyFont="1" applyFill="1" applyBorder="1" applyAlignment="1"/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4" borderId="0" xfId="0" applyFont="1" applyFill="1" applyAlignment="1">
      <alignment vertical="center"/>
    </xf>
    <xf numFmtId="0" fontId="3" fillId="3" borderId="5" xfId="0" applyFont="1" applyFill="1" applyBorder="1" applyAlignment="1">
      <alignment horizontal="left" vertical="center"/>
    </xf>
    <xf numFmtId="44" fontId="3" fillId="3" borderId="0" xfId="1" applyFont="1" applyFill="1" applyBorder="1" applyAlignment="1">
      <alignment horizontal="center" vertical="center"/>
    </xf>
    <xf numFmtId="0" fontId="3" fillId="3" borderId="6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/>
    </xf>
    <xf numFmtId="0" fontId="0" fillId="4" borderId="0" xfId="0" applyFill="1"/>
    <xf numFmtId="0" fontId="0" fillId="4" borderId="0" xfId="0" applyFill="1" applyAlignment="1">
      <alignment horizontal="center"/>
    </xf>
    <xf numFmtId="44" fontId="1" fillId="4" borderId="6" xfId="1" applyFont="1" applyFill="1" applyBorder="1" applyAlignment="1">
      <alignment horizontal="right" vertical="center"/>
    </xf>
    <xf numFmtId="0" fontId="3" fillId="3" borderId="5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3" fillId="3" borderId="0" xfId="0" applyFont="1" applyFill="1"/>
    <xf numFmtId="0" fontId="5" fillId="3" borderId="0" xfId="0" applyFont="1" applyFill="1"/>
    <xf numFmtId="44" fontId="5" fillId="3" borderId="0" xfId="1" applyFont="1" applyFill="1" applyBorder="1"/>
    <xf numFmtId="0" fontId="5" fillId="3" borderId="9" xfId="0" applyFont="1" applyFill="1" applyBorder="1"/>
    <xf numFmtId="0" fontId="5" fillId="3" borderId="10" xfId="0" applyFont="1" applyFill="1" applyBorder="1"/>
    <xf numFmtId="0" fontId="5" fillId="3" borderId="6" xfId="0" applyFont="1" applyFill="1" applyBorder="1"/>
    <xf numFmtId="0" fontId="1" fillId="3" borderId="9" xfId="0" applyFont="1" applyFill="1" applyBorder="1"/>
    <xf numFmtId="0" fontId="1" fillId="3" borderId="10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1" fillId="3" borderId="0" xfId="0" applyFont="1" applyFill="1" applyAlignment="1">
      <alignment horizontal="left"/>
    </xf>
    <xf numFmtId="49" fontId="1" fillId="3" borderId="0" xfId="0" applyNumberFormat="1" applyFont="1" applyFill="1" applyAlignment="1">
      <alignment horizontal="left"/>
    </xf>
    <xf numFmtId="44" fontId="0" fillId="3" borderId="0" xfId="1" applyFont="1" applyFill="1" applyBorder="1"/>
    <xf numFmtId="44" fontId="0" fillId="3" borderId="6" xfId="1" applyFont="1" applyFill="1" applyBorder="1"/>
    <xf numFmtId="0" fontId="21" fillId="5" borderId="8" xfId="0" applyFont="1" applyFill="1" applyBorder="1"/>
    <xf numFmtId="44" fontId="20" fillId="5" borderId="8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right"/>
    </xf>
    <xf numFmtId="44" fontId="1" fillId="3" borderId="6" xfId="1" applyFont="1" applyFill="1" applyBorder="1"/>
    <xf numFmtId="0" fontId="1" fillId="6" borderId="3" xfId="0" applyFont="1" applyFill="1" applyBorder="1" applyAlignment="1">
      <alignment horizontal="center"/>
    </xf>
    <xf numFmtId="44" fontId="0" fillId="4" borderId="10" xfId="1" applyFont="1" applyFill="1" applyBorder="1"/>
    <xf numFmtId="0" fontId="3" fillId="4" borderId="0" xfId="0" applyFont="1" applyFill="1" applyAlignment="1">
      <alignment horizontal="right" vertical="center"/>
    </xf>
    <xf numFmtId="0" fontId="23" fillId="5" borderId="0" xfId="0" applyFont="1" applyFill="1" applyAlignment="1">
      <alignment vertical="center"/>
    </xf>
    <xf numFmtId="44" fontId="0" fillId="0" borderId="6" xfId="0" applyNumberFormat="1" applyBorder="1"/>
    <xf numFmtId="0" fontId="24" fillId="0" borderId="0" xfId="0" applyFont="1" applyAlignment="1">
      <alignment horizontal="center" vertical="center"/>
    </xf>
    <xf numFmtId="9" fontId="0" fillId="2" borderId="3" xfId="3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/>
    <xf numFmtId="0" fontId="1" fillId="7" borderId="0" xfId="0" applyFont="1" applyFill="1" applyAlignment="1">
      <alignment horizontal="left"/>
    </xf>
    <xf numFmtId="0" fontId="3" fillId="7" borderId="0" xfId="0" applyFont="1" applyFill="1" applyAlignment="1">
      <alignment horizontal="left"/>
    </xf>
    <xf numFmtId="44" fontId="1" fillId="7" borderId="0" xfId="1" applyFont="1" applyFill="1" applyBorder="1"/>
    <xf numFmtId="0" fontId="4" fillId="7" borderId="0" xfId="0" applyFont="1" applyFill="1" applyAlignment="1">
      <alignment horizontal="right"/>
    </xf>
    <xf numFmtId="0" fontId="21" fillId="5" borderId="8" xfId="0" applyFont="1" applyFill="1" applyBorder="1" applyAlignment="1">
      <alignment horizontal="right"/>
    </xf>
    <xf numFmtId="0" fontId="0" fillId="7" borderId="0" xfId="0" applyFill="1" applyAlignment="1">
      <alignment horizontal="right"/>
    </xf>
    <xf numFmtId="0" fontId="14" fillId="0" borderId="0" xfId="0" applyFont="1" applyAlignment="1">
      <alignment horizontal="right" vertical="center"/>
    </xf>
    <xf numFmtId="166" fontId="0" fillId="0" borderId="0" xfId="0" applyNumberFormat="1" applyAlignment="1">
      <alignment horizontal="left"/>
    </xf>
    <xf numFmtId="0" fontId="26" fillId="0" borderId="0" xfId="0" applyFont="1"/>
    <xf numFmtId="0" fontId="0" fillId="0" borderId="11" xfId="0" applyBorder="1"/>
    <xf numFmtId="0" fontId="1" fillId="0" borderId="11" xfId="0" applyFont="1" applyBorder="1"/>
    <xf numFmtId="14" fontId="10" fillId="0" borderId="0" xfId="0" applyNumberFormat="1" applyFont="1" applyAlignment="1">
      <alignment horizontal="right" vertical="center"/>
    </xf>
    <xf numFmtId="44" fontId="27" fillId="9" borderId="13" xfId="1" applyFont="1" applyFill="1" applyBorder="1" applyAlignment="1">
      <alignment horizontal="right" vertical="center"/>
    </xf>
    <xf numFmtId="0" fontId="0" fillId="8" borderId="11" xfId="0" applyFill="1" applyBorder="1"/>
    <xf numFmtId="9" fontId="3" fillId="4" borderId="0" xfId="3" applyFont="1" applyFill="1" applyBorder="1" applyAlignment="1">
      <alignment horizontal="right" vertical="center"/>
    </xf>
    <xf numFmtId="9" fontId="3" fillId="4" borderId="0" xfId="0" applyNumberFormat="1" applyFont="1" applyFill="1" applyAlignment="1">
      <alignment horizontal="right" vertical="center"/>
    </xf>
    <xf numFmtId="49" fontId="0" fillId="0" borderId="0" xfId="1" applyNumberFormat="1" applyFont="1"/>
    <xf numFmtId="49" fontId="0" fillId="0" borderId="0" xfId="0" applyNumberFormat="1"/>
    <xf numFmtId="0" fontId="29" fillId="0" borderId="0" xfId="0" applyFont="1"/>
    <xf numFmtId="0" fontId="2" fillId="0" borderId="0" xfId="0" applyFont="1"/>
    <xf numFmtId="0" fontId="21" fillId="10" borderId="7" xfId="0" applyFont="1" applyFill="1" applyBorder="1"/>
    <xf numFmtId="44" fontId="1" fillId="0" borderId="5" xfId="1" applyFont="1" applyFill="1" applyBorder="1" applyAlignment="1"/>
    <xf numFmtId="0" fontId="2" fillId="0" borderId="0" xfId="0" applyFont="1" applyAlignment="1">
      <alignment horizontal="center"/>
    </xf>
    <xf numFmtId="14" fontId="0" fillId="0" borderId="0" xfId="0" applyNumberFormat="1"/>
    <xf numFmtId="167" fontId="0" fillId="0" borderId="0" xfId="0" applyNumberFormat="1"/>
    <xf numFmtId="167" fontId="2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3" fillId="3" borderId="5" xfId="0" applyFont="1" applyFill="1" applyBorder="1" applyAlignment="1">
      <alignment vertical="center"/>
    </xf>
    <xf numFmtId="0" fontId="3" fillId="3" borderId="0" xfId="0" applyFont="1" applyFill="1" applyAlignment="1">
      <alignment horizontal="right" vertical="center"/>
    </xf>
    <xf numFmtId="0" fontId="1" fillId="11" borderId="3" xfId="0" applyFont="1" applyFill="1" applyBorder="1" applyAlignment="1">
      <alignment horizontal="center"/>
    </xf>
    <xf numFmtId="0" fontId="23" fillId="5" borderId="0" xfId="0" applyFont="1" applyFill="1" applyAlignment="1">
      <alignment horizontal="left" vertical="center"/>
    </xf>
    <xf numFmtId="44" fontId="13" fillId="5" borderId="4" xfId="1" applyFont="1" applyFill="1" applyBorder="1" applyAlignment="1">
      <alignment horizontal="right" vertical="center"/>
    </xf>
    <xf numFmtId="0" fontId="1" fillId="12" borderId="3" xfId="0" applyFont="1" applyFill="1" applyBorder="1" applyAlignment="1">
      <alignment horizontal="left"/>
    </xf>
    <xf numFmtId="0" fontId="1" fillId="12" borderId="3" xfId="0" applyFont="1" applyFill="1" applyBorder="1" applyAlignment="1">
      <alignment horizontal="center"/>
    </xf>
    <xf numFmtId="44" fontId="0" fillId="12" borderId="5" xfId="1" applyFont="1" applyFill="1" applyBorder="1" applyAlignment="1"/>
    <xf numFmtId="44" fontId="0" fillId="12" borderId="6" xfId="1" applyFont="1" applyFill="1" applyBorder="1"/>
    <xf numFmtId="9" fontId="1" fillId="12" borderId="3" xfId="3" applyFont="1" applyFill="1" applyBorder="1" applyAlignment="1">
      <alignment horizontal="center"/>
    </xf>
    <xf numFmtId="44" fontId="0" fillId="12" borderId="5" xfId="1" applyFont="1" applyFill="1" applyBorder="1"/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44" fontId="1" fillId="6" borderId="5" xfId="1" applyFont="1" applyFill="1" applyBorder="1" applyAlignment="1">
      <alignment horizontal="center"/>
    </xf>
    <xf numFmtId="44" fontId="1" fillId="6" borderId="6" xfId="1" applyFont="1" applyFill="1" applyBorder="1" applyAlignment="1">
      <alignment horizontal="center"/>
    </xf>
    <xf numFmtId="44" fontId="1" fillId="4" borderId="5" xfId="1" applyFont="1" applyFill="1" applyBorder="1" applyAlignment="1">
      <alignment horizontal="center"/>
    </xf>
    <xf numFmtId="44" fontId="1" fillId="4" borderId="6" xfId="1" applyFont="1" applyFill="1" applyBorder="1" applyAlignment="1">
      <alignment horizontal="center"/>
    </xf>
    <xf numFmtId="0" fontId="3" fillId="4" borderId="0" xfId="0" applyFont="1" applyFill="1" applyAlignment="1">
      <alignment horizontal="right" vertical="center"/>
    </xf>
    <xf numFmtId="44" fontId="5" fillId="3" borderId="0" xfId="1" applyFont="1" applyFill="1" applyBorder="1" applyAlignment="1">
      <alignment horizontal="center"/>
    </xf>
    <xf numFmtId="165" fontId="0" fillId="0" borderId="9" xfId="1" applyNumberFormat="1" applyFont="1" applyFill="1" applyBorder="1" applyAlignment="1">
      <alignment horizontal="right"/>
    </xf>
    <xf numFmtId="165" fontId="0" fillId="0" borderId="10" xfId="1" applyNumberFormat="1" applyFont="1" applyFill="1" applyBorder="1" applyAlignment="1">
      <alignment horizontal="right"/>
    </xf>
    <xf numFmtId="165" fontId="0" fillId="2" borderId="9" xfId="1" applyNumberFormat="1" applyFont="1" applyFill="1" applyBorder="1" applyAlignment="1">
      <alignment horizontal="right"/>
    </xf>
    <xf numFmtId="165" fontId="0" fillId="2" borderId="10" xfId="1" applyNumberFormat="1" applyFont="1" applyFill="1" applyBorder="1" applyAlignment="1">
      <alignment horizontal="righ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20" fillId="5" borderId="8" xfId="0" applyFont="1" applyFill="1" applyBorder="1" applyAlignment="1">
      <alignment horizontal="right"/>
    </xf>
    <xf numFmtId="44" fontId="1" fillId="2" borderId="5" xfId="1" applyFont="1" applyFill="1" applyBorder="1" applyAlignment="1">
      <alignment horizontal="center"/>
    </xf>
    <xf numFmtId="44" fontId="1" fillId="2" borderId="6" xfId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44" fontId="1" fillId="11" borderId="5" xfId="1" applyFont="1" applyFill="1" applyBorder="1" applyAlignment="1">
      <alignment horizontal="center"/>
    </xf>
    <xf numFmtId="44" fontId="1" fillId="11" borderId="6" xfId="1" applyFont="1" applyFill="1" applyBorder="1" applyAlignment="1">
      <alignment horizontal="center"/>
    </xf>
    <xf numFmtId="44" fontId="1" fillId="12" borderId="5" xfId="1" applyFont="1" applyFill="1" applyBorder="1" applyAlignment="1">
      <alignment horizontal="center"/>
    </xf>
    <xf numFmtId="44" fontId="1" fillId="12" borderId="6" xfId="1" applyFont="1" applyFill="1" applyBorder="1" applyAlignment="1">
      <alignment horizontal="center"/>
    </xf>
    <xf numFmtId="0" fontId="22" fillId="0" borderId="5" xfId="0" applyFont="1" applyBorder="1" applyAlignment="1">
      <alignment horizontal="left"/>
    </xf>
    <xf numFmtId="0" fontId="22" fillId="0" borderId="0" xfId="0" applyFont="1" applyAlignment="1">
      <alignment horizontal="left"/>
    </xf>
    <xf numFmtId="0" fontId="32" fillId="0" borderId="0" xfId="0" applyFont="1" applyAlignment="1">
      <alignment horizontal="center" vertical="center" wrapText="1"/>
    </xf>
    <xf numFmtId="0" fontId="32" fillId="0" borderId="6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44" fontId="3" fillId="3" borderId="0" xfId="1" applyFont="1" applyFill="1" applyBorder="1" applyAlignment="1">
      <alignment horizontal="center" vertical="center"/>
    </xf>
    <xf numFmtId="165" fontId="0" fillId="12" borderId="9" xfId="1" applyNumberFormat="1" applyFont="1" applyFill="1" applyBorder="1" applyAlignment="1">
      <alignment horizontal="right"/>
    </xf>
    <xf numFmtId="165" fontId="0" fillId="12" borderId="10" xfId="1" applyNumberFormat="1" applyFont="1" applyFill="1" applyBorder="1" applyAlignment="1">
      <alignment horizontal="right"/>
    </xf>
    <xf numFmtId="0" fontId="0" fillId="12" borderId="9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 wrapText="1"/>
    </xf>
    <xf numFmtId="14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8" fillId="0" borderId="0" xfId="0" applyFont="1" applyAlignment="1">
      <alignment horizontal="right"/>
    </xf>
    <xf numFmtId="0" fontId="18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31" fillId="13" borderId="5" xfId="0" applyFont="1" applyFill="1" applyBorder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30" fillId="13" borderId="0" xfId="0" applyFont="1" applyFill="1" applyAlignment="1">
      <alignment horizontal="left" vertical="center"/>
    </xf>
    <xf numFmtId="0" fontId="0" fillId="13" borderId="0" xfId="0" applyFill="1"/>
    <xf numFmtId="14" fontId="19" fillId="13" borderId="0" xfId="0" applyNumberFormat="1" applyFont="1" applyFill="1" applyAlignment="1">
      <alignment horizontal="left" vertical="center"/>
    </xf>
    <xf numFmtId="14" fontId="19" fillId="13" borderId="6" xfId="0" applyNumberFormat="1" applyFont="1" applyFill="1" applyBorder="1" applyAlignment="1">
      <alignment horizontal="left" vertical="center"/>
    </xf>
  </cellXfs>
  <cellStyles count="4">
    <cellStyle name="Lien hypertexte" xfId="2" builtinId="8"/>
    <cellStyle name="Monétaire" xfId="1" builtinId="4"/>
    <cellStyle name="Normal" xfId="0" builtinId="0"/>
    <cellStyle name="Pourcentage" xfId="3" builtinId="5"/>
  </cellStyles>
  <dxfs count="2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0066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24994659260841701"/>
        </patternFill>
      </fill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theme="4"/>
      </font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9EEE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5" tint="0.79998168889431442"/>
        </patternFill>
      </fill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9EEED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8EDEC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bgColor rgb="FFF7EAE9"/>
        </patternFill>
      </fill>
    </dxf>
  </dxfs>
  <tableStyles count="0" defaultTableStyle="TableStyleMedium9" defaultPivotStyle="PivotStyleLight16"/>
  <colors>
    <mruColors>
      <color rgb="FFFFFF66"/>
      <color rgb="FFF7EAE9"/>
      <color rgb="FF963534"/>
      <color rgb="FFCCFFFF"/>
      <color rgb="FFF8EDEC"/>
      <color rgb="FFF9EEED"/>
      <color rgb="FFFA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55</xdr:row>
      <xdr:rowOff>19050</xdr:rowOff>
    </xdr:from>
    <xdr:to>
      <xdr:col>8</xdr:col>
      <xdr:colOff>771524</xdr:colOff>
      <xdr:row>55</xdr:row>
      <xdr:rowOff>161926</xdr:rowOff>
    </xdr:to>
    <xdr:sp macro="" textlink="">
      <xdr:nvSpPr>
        <xdr:cNvPr id="3" name="AutoShape 7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695825" y="9896475"/>
          <a:ext cx="742949" cy="142876"/>
        </a:xfrm>
        <a:prstGeom prst="rightArrow">
          <a:avLst>
            <a:gd name="adj1" fmla="val 50000"/>
            <a:gd name="adj2" fmla="val 180000"/>
          </a:avLst>
        </a:prstGeom>
        <a:ln>
          <a:headEnd/>
          <a:tailEnd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762000</xdr:colOff>
          <xdr:row>0</xdr:row>
          <xdr:rowOff>9525</xdr:rowOff>
        </xdr:from>
        <xdr:to>
          <xdr:col>11</xdr:col>
          <xdr:colOff>0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Projet Exécuté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</xdr:row>
      <xdr:rowOff>152400</xdr:rowOff>
    </xdr:from>
    <xdr:to>
      <xdr:col>4</xdr:col>
      <xdr:colOff>196526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" y="228600"/>
          <a:ext cx="1968176" cy="8191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ux" displayName="Taux" ref="B1:C7" totalsRowShown="0">
  <autoFilter ref="B1:C7" xr:uid="{00000000-0009-0000-0100-000002000000}"/>
  <tableColumns count="2">
    <tableColumn id="1" xr3:uid="{00000000-0010-0000-0000-000001000000}" name="Type Job"/>
    <tableColumn id="2" xr3:uid="{00000000-0010-0000-0000-000002000000}" name="Taux" dataDxfId="3" dataCellStyle="Monétair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BSDQ" displayName="BSDQ" ref="A1:A3" totalsRowShown="0">
  <autoFilter ref="A1:A3" xr:uid="{00000000-0009-0000-0100-000003000000}"/>
  <tableColumns count="1">
    <tableColumn id="1" xr3:uid="{00000000-0010-0000-0100-000001000000}" name="BSDQ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E94423-8087-4CA1-BD20-FB61690DE457}" name="Entrepreneur" displayName="Entrepreneur" ref="A1:D34" totalsRowShown="0" headerRowDxfId="2">
  <autoFilter ref="A1:D34" xr:uid="{93E94423-8087-4CA1-BD20-FB61690DE457}"/>
  <sortState xmlns:xlrd2="http://schemas.microsoft.com/office/spreadsheetml/2017/richdata2" ref="A2:D34">
    <sortCondition ref="A1:A34"/>
  </sortState>
  <tableColumns count="4">
    <tableColumn id="1" xr3:uid="{80B449C2-AA6A-475D-A0F1-F842D29D2143}" name="Entrepreneur Généraux"/>
    <tableColumn id="2" xr3:uid="{CCEEB69B-2132-4DF2-AFA1-014F31353FB7}" name="Adresse" dataDxfId="1"/>
    <tableColumn id="3" xr3:uid="{59E7B771-32FD-45FE-9CC3-03E234A7BCC8}" name="Téléphone" dataDxfId="0"/>
    <tableColumn id="4" xr3:uid="{18C306BD-8112-4050-BD0C-EEBFE69B3F1B}" name="Fax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info@aluminiumascot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L72"/>
  <sheetViews>
    <sheetView showGridLines="0" showZeros="0" tabSelected="1" showWhiteSpace="0" zoomScaleNormal="100" workbookViewId="0">
      <selection activeCell="A12" sqref="A12"/>
    </sheetView>
  </sheetViews>
  <sheetFormatPr baseColWidth="10" defaultColWidth="11.28515625" defaultRowHeight="12.75" x14ac:dyDescent="0.2"/>
  <cols>
    <col min="1" max="1" width="22.140625" customWidth="1"/>
    <col min="2" max="2" width="5.7109375" customWidth="1"/>
    <col min="3" max="3" width="6.42578125" customWidth="1"/>
    <col min="4" max="4" width="9.140625" customWidth="1"/>
    <col min="5" max="5" width="11" customWidth="1"/>
    <col min="6" max="7" width="6.5703125" customWidth="1"/>
    <col min="8" max="8" width="14.7109375" customWidth="1"/>
    <col min="9" max="9" width="10.7109375" customWidth="1"/>
    <col min="10" max="10" width="6" customWidth="1"/>
    <col min="11" max="11" width="18.7109375" customWidth="1"/>
  </cols>
  <sheetData>
    <row r="1" spans="1:11" ht="27.75" customHeight="1" x14ac:dyDescent="0.2">
      <c r="A1" s="179" t="s">
        <v>2</v>
      </c>
      <c r="B1" s="180"/>
      <c r="C1" s="180"/>
      <c r="D1" s="180"/>
      <c r="E1" s="180"/>
      <c r="F1" s="180"/>
      <c r="G1" s="180"/>
      <c r="H1" s="181" t="s">
        <v>185</v>
      </c>
      <c r="I1" s="181"/>
      <c r="J1" s="181"/>
      <c r="K1" s="182"/>
    </row>
    <row r="2" spans="1:11" ht="27.75" customHeight="1" x14ac:dyDescent="0.2">
      <c r="A2" s="179"/>
      <c r="B2" s="180"/>
      <c r="C2" s="180"/>
      <c r="D2" s="180"/>
      <c r="E2" s="180"/>
      <c r="F2" s="180"/>
      <c r="G2" s="180"/>
      <c r="H2" s="183" t="s">
        <v>203</v>
      </c>
      <c r="I2" s="183"/>
      <c r="J2" s="183"/>
      <c r="K2" s="184"/>
    </row>
    <row r="3" spans="1:11" ht="24" customHeight="1" x14ac:dyDescent="0.3">
      <c r="A3" s="160" t="s">
        <v>229</v>
      </c>
      <c r="B3" s="161"/>
      <c r="C3" s="161"/>
      <c r="D3" s="161"/>
      <c r="E3" s="161"/>
      <c r="F3" s="161"/>
      <c r="G3" s="161"/>
      <c r="H3" s="161"/>
      <c r="I3" s="162" t="str">
        <f ca="1">(LEFT(MID(CELL("nomfichier",A1),FIND("[",CELL("nomfichier",A1))+1,999),FIND("]",MID(CELL("nomfichier",A1),FIND("[",CELL("nomfichier",A1))+2,999))-5))</f>
        <v>23-567 - Toiture invités (nouvelle feuille)</v>
      </c>
      <c r="J3" s="162"/>
      <c r="K3" s="163"/>
    </row>
    <row r="4" spans="1:11" ht="25.5" customHeight="1" x14ac:dyDescent="0.2">
      <c r="A4" s="164" t="s">
        <v>230</v>
      </c>
      <c r="B4" s="165"/>
      <c r="C4" s="165"/>
      <c r="D4" s="165"/>
      <c r="E4" s="165"/>
      <c r="F4" s="165"/>
      <c r="G4" s="165"/>
      <c r="H4" s="165"/>
      <c r="I4" s="162"/>
      <c r="J4" s="162"/>
      <c r="K4" s="163"/>
    </row>
    <row r="5" spans="1:11" ht="29.25" customHeight="1" x14ac:dyDescent="0.2">
      <c r="A5" s="164" t="s">
        <v>231</v>
      </c>
      <c r="B5" s="165"/>
      <c r="C5" s="165"/>
      <c r="D5" s="165"/>
      <c r="E5" s="165"/>
      <c r="F5" s="165"/>
      <c r="G5" s="165"/>
      <c r="H5" s="165"/>
      <c r="I5" s="162"/>
      <c r="J5" s="162"/>
      <c r="K5" s="163"/>
    </row>
    <row r="6" spans="1:11" ht="18" customHeight="1" x14ac:dyDescent="0.2">
      <c r="A6" s="65" t="s">
        <v>10</v>
      </c>
      <c r="B6" s="61"/>
      <c r="C6" s="66"/>
      <c r="D6" s="66"/>
      <c r="E6" s="66"/>
      <c r="F6" s="66"/>
      <c r="G6" s="66"/>
      <c r="H6" s="67"/>
      <c r="I6" s="143" t="s">
        <v>207</v>
      </c>
      <c r="J6" s="143"/>
      <c r="K6" s="68">
        <v>75</v>
      </c>
    </row>
    <row r="7" spans="1:11" ht="15.75" customHeight="1" x14ac:dyDescent="0.2">
      <c r="A7" s="126" t="s">
        <v>211</v>
      </c>
      <c r="B7" s="63" t="s">
        <v>46</v>
      </c>
      <c r="C7" s="124" t="s">
        <v>216</v>
      </c>
      <c r="D7" s="124" t="s">
        <v>205</v>
      </c>
      <c r="E7" s="124" t="s">
        <v>206</v>
      </c>
      <c r="F7" s="166" t="s">
        <v>3</v>
      </c>
      <c r="G7" s="166"/>
      <c r="H7" s="63" t="s">
        <v>45</v>
      </c>
      <c r="I7" s="166" t="s">
        <v>47</v>
      </c>
      <c r="J7" s="166"/>
      <c r="K7" s="64" t="s">
        <v>0</v>
      </c>
    </row>
    <row r="8" spans="1:11" ht="14.1" customHeight="1" x14ac:dyDescent="0.2">
      <c r="A8" s="131" t="s">
        <v>221</v>
      </c>
      <c r="B8" s="131"/>
      <c r="C8" s="131"/>
      <c r="D8" s="131" t="s">
        <v>225</v>
      </c>
      <c r="E8" s="132">
        <v>1250</v>
      </c>
      <c r="F8" s="158">
        <v>5.5</v>
      </c>
      <c r="G8" s="159"/>
      <c r="H8" s="133"/>
      <c r="I8" s="167">
        <f t="shared" ref="I8:I21" si="0">(H8*E8)-(F8*E8)</f>
        <v>-6875</v>
      </c>
      <c r="J8" s="168"/>
      <c r="K8" s="134">
        <f t="shared" ref="K8:K13" si="1">E8*F8</f>
        <v>6875</v>
      </c>
    </row>
    <row r="9" spans="1:11" ht="14.1" customHeight="1" x14ac:dyDescent="0.2">
      <c r="A9" s="30" t="s">
        <v>222</v>
      </c>
      <c r="B9" s="28"/>
      <c r="C9" s="28"/>
      <c r="D9" s="28"/>
      <c r="E9" s="57">
        <v>1</v>
      </c>
      <c r="F9" s="141">
        <v>250</v>
      </c>
      <c r="G9" s="142"/>
      <c r="H9" s="58"/>
      <c r="I9" s="147">
        <f t="shared" si="0"/>
        <v>-250</v>
      </c>
      <c r="J9" s="148"/>
      <c r="K9" s="43">
        <f t="shared" si="1"/>
        <v>250</v>
      </c>
    </row>
    <row r="10" spans="1:11" ht="14.1" customHeight="1" x14ac:dyDescent="0.2">
      <c r="A10" s="36"/>
      <c r="B10" s="29"/>
      <c r="C10" s="29"/>
      <c r="D10" s="29"/>
      <c r="E10" s="89"/>
      <c r="F10" s="139"/>
      <c r="G10" s="140"/>
      <c r="H10" s="52"/>
      <c r="I10" s="145">
        <f t="shared" si="0"/>
        <v>0</v>
      </c>
      <c r="J10" s="146"/>
      <c r="K10" s="44">
        <f t="shared" si="1"/>
        <v>0</v>
      </c>
    </row>
    <row r="11" spans="1:11" ht="14.1" customHeight="1" x14ac:dyDescent="0.2">
      <c r="A11" s="30"/>
      <c r="B11" s="28"/>
      <c r="C11" s="28"/>
      <c r="D11" s="28"/>
      <c r="E11" s="57"/>
      <c r="F11" s="141"/>
      <c r="G11" s="142"/>
      <c r="H11" s="58"/>
      <c r="I11" s="147">
        <f t="shared" si="0"/>
        <v>0</v>
      </c>
      <c r="J11" s="148"/>
      <c r="K11" s="43">
        <f t="shared" si="1"/>
        <v>0</v>
      </c>
    </row>
    <row r="12" spans="1:11" ht="14.1" customHeight="1" x14ac:dyDescent="0.2">
      <c r="A12" s="36"/>
      <c r="B12" s="29"/>
      <c r="C12" s="36"/>
      <c r="D12" s="36"/>
      <c r="E12" s="89"/>
      <c r="F12" s="139"/>
      <c r="G12" s="140"/>
      <c r="H12" s="119"/>
      <c r="I12" s="145">
        <f t="shared" si="0"/>
        <v>0</v>
      </c>
      <c r="J12" s="146"/>
      <c r="K12" s="44">
        <f>E12*F12</f>
        <v>0</v>
      </c>
    </row>
    <row r="13" spans="1:11" ht="13.5" customHeight="1" x14ac:dyDescent="0.2">
      <c r="A13" s="30"/>
      <c r="B13" s="28"/>
      <c r="C13" s="28"/>
      <c r="D13" s="28"/>
      <c r="E13" s="57"/>
      <c r="F13" s="141"/>
      <c r="G13" s="142"/>
      <c r="H13" s="58"/>
      <c r="I13" s="147">
        <f t="shared" si="0"/>
        <v>0</v>
      </c>
      <c r="J13" s="148"/>
      <c r="K13" s="43">
        <f t="shared" si="1"/>
        <v>0</v>
      </c>
    </row>
    <row r="14" spans="1:11" ht="13.5" hidden="1" customHeight="1" x14ac:dyDescent="0.2">
      <c r="A14" s="30"/>
      <c r="B14" s="28"/>
      <c r="C14" s="28"/>
      <c r="D14" s="28"/>
      <c r="E14" s="57"/>
      <c r="F14" s="141"/>
      <c r="G14" s="142"/>
      <c r="H14" s="58"/>
      <c r="I14" s="147"/>
      <c r="J14" s="148"/>
      <c r="K14" s="43">
        <f>E14*F14</f>
        <v>0</v>
      </c>
    </row>
    <row r="15" spans="1:11" ht="14.1" customHeight="1" x14ac:dyDescent="0.2">
      <c r="A15" s="36"/>
      <c r="B15" s="29"/>
      <c r="C15" s="29"/>
      <c r="D15" s="29"/>
      <c r="E15" s="89"/>
      <c r="F15" s="139"/>
      <c r="G15" s="140"/>
      <c r="H15" s="52"/>
      <c r="I15" s="145">
        <f t="shared" si="0"/>
        <v>0</v>
      </c>
      <c r="J15" s="146"/>
      <c r="K15" s="44">
        <f>E15*F15</f>
        <v>0</v>
      </c>
    </row>
    <row r="16" spans="1:11" ht="14.1" customHeight="1" x14ac:dyDescent="0.2">
      <c r="A16" s="30"/>
      <c r="B16" s="28"/>
      <c r="C16" s="28"/>
      <c r="D16" s="28"/>
      <c r="E16" s="57"/>
      <c r="F16" s="141"/>
      <c r="G16" s="142"/>
      <c r="H16" s="58"/>
      <c r="I16" s="147">
        <f t="shared" ref="I16:I19" si="2">(H16*E16)-(F16*E16)</f>
        <v>0</v>
      </c>
      <c r="J16" s="148"/>
      <c r="K16" s="43">
        <f>E16*F16</f>
        <v>0</v>
      </c>
    </row>
    <row r="17" spans="1:11" ht="14.1" customHeight="1" x14ac:dyDescent="0.2">
      <c r="A17" s="36"/>
      <c r="B17" s="29"/>
      <c r="C17" s="36"/>
      <c r="D17" s="36"/>
      <c r="E17" s="89"/>
      <c r="F17" s="139"/>
      <c r="G17" s="140"/>
      <c r="H17" s="119"/>
      <c r="I17" s="145">
        <f t="shared" si="2"/>
        <v>0</v>
      </c>
      <c r="J17" s="146"/>
      <c r="K17" s="44">
        <f>E17*F17</f>
        <v>0</v>
      </c>
    </row>
    <row r="18" spans="1:11" ht="14.1" hidden="1" customHeight="1" x14ac:dyDescent="0.2">
      <c r="A18" s="36"/>
      <c r="B18" s="36"/>
      <c r="C18" s="36"/>
      <c r="D18" s="36"/>
      <c r="E18" s="89"/>
      <c r="F18" s="139"/>
      <c r="G18" s="140"/>
      <c r="H18" s="52"/>
      <c r="I18" s="145"/>
      <c r="J18" s="146"/>
      <c r="K18" s="44">
        <f>E18*F18</f>
        <v>0</v>
      </c>
    </row>
    <row r="19" spans="1:11" ht="14.1" customHeight="1" x14ac:dyDescent="0.2">
      <c r="A19" s="30"/>
      <c r="B19" s="28"/>
      <c r="C19" s="28"/>
      <c r="D19" s="28"/>
      <c r="E19" s="57"/>
      <c r="F19" s="141"/>
      <c r="G19" s="142"/>
      <c r="H19" s="58"/>
      <c r="I19" s="147">
        <f t="shared" si="2"/>
        <v>0</v>
      </c>
      <c r="J19" s="148"/>
      <c r="K19" s="43">
        <f t="shared" ref="K19" si="3">E19*F19</f>
        <v>0</v>
      </c>
    </row>
    <row r="20" spans="1:11" ht="13.5" customHeight="1" x14ac:dyDescent="0.2">
      <c r="A20" s="36"/>
      <c r="B20" s="29"/>
      <c r="C20" s="29"/>
      <c r="D20" s="29"/>
      <c r="E20" s="89"/>
      <c r="F20" s="139"/>
      <c r="G20" s="140"/>
      <c r="H20" s="52"/>
      <c r="I20" s="145">
        <f t="shared" ref="I20" si="4">(H20*E20)-(F20*E20)</f>
        <v>0</v>
      </c>
      <c r="J20" s="146"/>
      <c r="K20" s="44">
        <f t="shared" ref="K20:K21" si="5">E20*F20</f>
        <v>0</v>
      </c>
    </row>
    <row r="21" spans="1:11" ht="14.1" customHeight="1" x14ac:dyDescent="0.2">
      <c r="A21" s="30"/>
      <c r="B21" s="28"/>
      <c r="C21" s="28"/>
      <c r="D21" s="28"/>
      <c r="E21" s="57"/>
      <c r="F21" s="141"/>
      <c r="G21" s="142"/>
      <c r="H21" s="58"/>
      <c r="I21" s="147">
        <f t="shared" si="0"/>
        <v>0</v>
      </c>
      <c r="J21" s="148"/>
      <c r="K21" s="43">
        <f t="shared" si="5"/>
        <v>0</v>
      </c>
    </row>
    <row r="22" spans="1:11" ht="15" customHeight="1" x14ac:dyDescent="0.2">
      <c r="A22" s="62" t="s">
        <v>209</v>
      </c>
      <c r="B22" s="70"/>
      <c r="C22" s="124" t="s">
        <v>217</v>
      </c>
      <c r="D22" s="71"/>
      <c r="E22" s="72"/>
      <c r="F22" s="144"/>
      <c r="G22" s="144"/>
      <c r="H22" s="73"/>
      <c r="I22" s="74"/>
      <c r="J22" s="75"/>
      <c r="K22" s="76"/>
    </row>
    <row r="23" spans="1:11" ht="14.1" hidden="1" customHeight="1" x14ac:dyDescent="0.2">
      <c r="A23" s="38"/>
      <c r="B23" s="38"/>
      <c r="C23" s="49"/>
      <c r="D23" s="49"/>
      <c r="E23" s="89"/>
      <c r="F23" s="139"/>
      <c r="G23" s="140"/>
      <c r="H23" s="53"/>
      <c r="I23" s="149"/>
      <c r="J23" s="150"/>
      <c r="K23" s="46">
        <f>E23*F23</f>
        <v>0</v>
      </c>
    </row>
    <row r="24" spans="1:11" ht="14.1" customHeight="1" x14ac:dyDescent="0.2">
      <c r="A24" s="35"/>
      <c r="B24" s="35"/>
      <c r="C24" s="37"/>
      <c r="D24" s="37"/>
      <c r="E24" s="57"/>
      <c r="F24" s="141"/>
      <c r="G24" s="142"/>
      <c r="H24" s="54"/>
      <c r="I24" s="59"/>
      <c r="J24" s="60"/>
      <c r="K24" s="45">
        <f>E24*F24</f>
        <v>0</v>
      </c>
    </row>
    <row r="25" spans="1:11" ht="14.1" customHeight="1" x14ac:dyDescent="0.2">
      <c r="A25" s="38"/>
      <c r="B25" s="38"/>
      <c r="C25" s="49"/>
      <c r="D25" s="49"/>
      <c r="E25" s="89"/>
      <c r="F25" s="139"/>
      <c r="G25" s="140"/>
      <c r="H25" s="53"/>
      <c r="I25" s="149"/>
      <c r="J25" s="150"/>
      <c r="K25" s="46">
        <f>E25*F25</f>
        <v>0</v>
      </c>
    </row>
    <row r="26" spans="1:11" ht="14.1" customHeight="1" x14ac:dyDescent="0.2">
      <c r="A26" s="30"/>
      <c r="B26" s="30"/>
      <c r="C26" s="30"/>
      <c r="D26" s="30"/>
      <c r="E26" s="57"/>
      <c r="F26" s="141"/>
      <c r="G26" s="142"/>
      <c r="H26" s="42"/>
      <c r="I26" s="137"/>
      <c r="J26" s="138"/>
      <c r="K26" s="45">
        <f>E26*F26</f>
        <v>0</v>
      </c>
    </row>
    <row r="27" spans="1:11" ht="15" customHeight="1" x14ac:dyDescent="0.2">
      <c r="A27" s="62" t="s">
        <v>210</v>
      </c>
      <c r="B27" s="70"/>
      <c r="C27" s="124" t="s">
        <v>216</v>
      </c>
      <c r="D27" s="71"/>
      <c r="E27" s="72"/>
      <c r="F27" s="73"/>
      <c r="G27" s="73"/>
      <c r="H27" s="73"/>
      <c r="I27" s="74"/>
      <c r="J27" s="75"/>
      <c r="K27" s="76"/>
    </row>
    <row r="28" spans="1:11" ht="15" customHeight="1" x14ac:dyDescent="0.2">
      <c r="A28" s="36"/>
      <c r="B28" s="36"/>
      <c r="C28" s="36"/>
      <c r="D28" s="36"/>
      <c r="E28" s="89"/>
      <c r="F28" s="139"/>
      <c r="G28" s="140"/>
      <c r="H28" s="56"/>
      <c r="I28" s="149"/>
      <c r="J28" s="150"/>
      <c r="K28" s="44">
        <f t="shared" ref="K28:K32" si="6">E28*F28</f>
        <v>0</v>
      </c>
    </row>
    <row r="29" spans="1:11" ht="15" customHeight="1" x14ac:dyDescent="0.2">
      <c r="A29" s="30"/>
      <c r="B29" s="30"/>
      <c r="C29" s="30"/>
      <c r="D29" s="30"/>
      <c r="E29" s="57"/>
      <c r="F29" s="141"/>
      <c r="G29" s="142"/>
      <c r="H29" s="55"/>
      <c r="I29" s="137"/>
      <c r="J29" s="138"/>
      <c r="K29" s="43">
        <f t="shared" si="6"/>
        <v>0</v>
      </c>
    </row>
    <row r="30" spans="1:11" ht="15" customHeight="1" x14ac:dyDescent="0.2">
      <c r="A30" s="36"/>
      <c r="B30" s="36"/>
      <c r="C30" s="36"/>
      <c r="D30" s="36"/>
      <c r="E30" s="89"/>
      <c r="F30" s="139"/>
      <c r="G30" s="140"/>
      <c r="H30" s="56"/>
      <c r="I30" s="149"/>
      <c r="J30" s="150"/>
      <c r="K30" s="44">
        <f t="shared" si="6"/>
        <v>0</v>
      </c>
    </row>
    <row r="31" spans="1:11" ht="15" customHeight="1" x14ac:dyDescent="0.2">
      <c r="A31" s="30"/>
      <c r="B31" s="30"/>
      <c r="C31" s="30"/>
      <c r="D31" s="30"/>
      <c r="E31" s="57"/>
      <c r="F31" s="141"/>
      <c r="G31" s="142"/>
      <c r="H31" s="55"/>
      <c r="I31" s="137"/>
      <c r="J31" s="138"/>
      <c r="K31" s="43">
        <f t="shared" si="6"/>
        <v>0</v>
      </c>
    </row>
    <row r="32" spans="1:11" ht="15" customHeight="1" x14ac:dyDescent="0.2">
      <c r="A32" s="36"/>
      <c r="B32" s="36"/>
      <c r="C32" s="36"/>
      <c r="D32" s="36"/>
      <c r="E32" s="89"/>
      <c r="F32" s="139"/>
      <c r="G32" s="140"/>
      <c r="H32" s="56"/>
      <c r="I32" s="149"/>
      <c r="J32" s="150"/>
      <c r="K32" s="44">
        <f t="shared" si="6"/>
        <v>0</v>
      </c>
    </row>
    <row r="33" spans="1:11" ht="15" customHeight="1" x14ac:dyDescent="0.2">
      <c r="A33" s="62" t="s">
        <v>208</v>
      </c>
      <c r="B33" s="70"/>
      <c r="C33" s="124" t="s">
        <v>204</v>
      </c>
      <c r="D33" s="71"/>
      <c r="E33" s="72"/>
      <c r="F33" s="73"/>
      <c r="G33" s="73"/>
      <c r="H33" s="73"/>
      <c r="I33" s="77"/>
      <c r="J33" s="78"/>
      <c r="K33" s="76"/>
    </row>
    <row r="34" spans="1:11" ht="15" customHeight="1" x14ac:dyDescent="0.2">
      <c r="A34" s="36" t="s">
        <v>223</v>
      </c>
      <c r="B34" s="36"/>
      <c r="C34" s="36"/>
      <c r="D34" s="36"/>
      <c r="E34" s="89">
        <v>1.2</v>
      </c>
      <c r="F34" s="139">
        <v>120</v>
      </c>
      <c r="G34" s="140"/>
      <c r="H34" s="56"/>
      <c r="I34" s="149"/>
      <c r="J34" s="150"/>
      <c r="K34" s="44">
        <f t="shared" ref="K34:K37" si="7">E34*F34</f>
        <v>144</v>
      </c>
    </row>
    <row r="35" spans="1:11" ht="15" customHeight="1" x14ac:dyDescent="0.2">
      <c r="A35" s="30"/>
      <c r="B35" s="30"/>
      <c r="C35" s="30"/>
      <c r="D35" s="30"/>
      <c r="E35" s="57"/>
      <c r="F35" s="141"/>
      <c r="G35" s="142"/>
      <c r="H35" s="55"/>
      <c r="I35" s="59"/>
      <c r="J35" s="60"/>
      <c r="K35" s="43">
        <f t="shared" si="7"/>
        <v>0</v>
      </c>
    </row>
    <row r="36" spans="1:11" ht="15" customHeight="1" x14ac:dyDescent="0.2">
      <c r="A36" s="36"/>
      <c r="B36" s="36"/>
      <c r="C36" s="36"/>
      <c r="D36" s="36"/>
      <c r="E36" s="89"/>
      <c r="F36" s="139"/>
      <c r="G36" s="140"/>
      <c r="H36" s="56"/>
      <c r="I36" s="149"/>
      <c r="J36" s="150"/>
      <c r="K36" s="44">
        <f t="shared" si="7"/>
        <v>0</v>
      </c>
    </row>
    <row r="37" spans="1:11" ht="15" customHeight="1" x14ac:dyDescent="0.2">
      <c r="A37" s="30"/>
      <c r="B37" s="30"/>
      <c r="C37" s="34"/>
      <c r="D37" s="34"/>
      <c r="E37" s="57"/>
      <c r="F37" s="141"/>
      <c r="G37" s="142"/>
      <c r="H37" s="54"/>
      <c r="I37" s="137"/>
      <c r="J37" s="138"/>
      <c r="K37" s="43">
        <f t="shared" si="7"/>
        <v>0</v>
      </c>
    </row>
    <row r="38" spans="1:11" ht="15" customHeight="1" x14ac:dyDescent="0.2">
      <c r="A38" s="62" t="s">
        <v>5</v>
      </c>
      <c r="B38" s="124" t="s">
        <v>54</v>
      </c>
      <c r="C38" s="124" t="s">
        <v>216</v>
      </c>
      <c r="D38" s="124" t="s">
        <v>205</v>
      </c>
      <c r="E38" s="72"/>
      <c r="F38" s="72"/>
      <c r="G38" s="72"/>
      <c r="H38" s="73"/>
      <c r="I38" s="79"/>
      <c r="J38" s="80"/>
      <c r="K38" s="76"/>
    </row>
    <row r="39" spans="1:11" ht="15" customHeight="1" x14ac:dyDescent="0.2">
      <c r="A39" s="131" t="s">
        <v>224</v>
      </c>
      <c r="B39" s="135"/>
      <c r="C39" s="131"/>
      <c r="D39" s="131"/>
      <c r="E39" s="132">
        <v>7.5</v>
      </c>
      <c r="F39" s="158">
        <v>170</v>
      </c>
      <c r="G39" s="159"/>
      <c r="H39" s="136"/>
      <c r="I39" s="169"/>
      <c r="J39" s="170"/>
      <c r="K39" s="134">
        <f t="shared" ref="K39:K55" si="8">E39*F39</f>
        <v>1275</v>
      </c>
    </row>
    <row r="40" spans="1:11" ht="15" customHeight="1" x14ac:dyDescent="0.2">
      <c r="A40" s="28"/>
      <c r="B40" s="95"/>
      <c r="C40" s="40"/>
      <c r="D40" s="40"/>
      <c r="E40" s="57"/>
      <c r="F40" s="141"/>
      <c r="G40" s="142"/>
      <c r="H40" s="55"/>
      <c r="I40" s="137"/>
      <c r="J40" s="138"/>
      <c r="K40" s="43">
        <f t="shared" si="8"/>
        <v>0</v>
      </c>
    </row>
    <row r="41" spans="1:11" ht="15" customHeight="1" x14ac:dyDescent="0.2">
      <c r="A41" s="36"/>
      <c r="B41" s="36"/>
      <c r="C41" s="36"/>
      <c r="D41" s="36"/>
      <c r="E41" s="89"/>
      <c r="F41" s="139"/>
      <c r="G41" s="140"/>
      <c r="H41" s="56"/>
      <c r="I41" s="149"/>
      <c r="J41" s="150"/>
      <c r="K41" s="44">
        <f t="shared" si="8"/>
        <v>0</v>
      </c>
    </row>
    <row r="42" spans="1:11" ht="15" customHeight="1" x14ac:dyDescent="0.2">
      <c r="A42" s="30"/>
      <c r="B42" s="30"/>
      <c r="C42" s="30"/>
      <c r="D42" s="30"/>
      <c r="E42" s="57"/>
      <c r="F42" s="141"/>
      <c r="G42" s="142"/>
      <c r="H42" s="55"/>
      <c r="I42" s="137"/>
      <c r="J42" s="138"/>
      <c r="K42" s="43">
        <f t="shared" ref="K42" si="9">E42*F42</f>
        <v>0</v>
      </c>
    </row>
    <row r="43" spans="1:11" ht="15" customHeight="1" x14ac:dyDescent="0.2">
      <c r="A43" s="36"/>
      <c r="B43" s="36"/>
      <c r="C43" s="36"/>
      <c r="D43" s="36"/>
      <c r="E43" s="89"/>
      <c r="F43" s="139"/>
      <c r="G43" s="140"/>
      <c r="H43" s="56"/>
      <c r="I43" s="149"/>
      <c r="J43" s="150"/>
      <c r="K43" s="44">
        <f t="shared" si="8"/>
        <v>0</v>
      </c>
    </row>
    <row r="44" spans="1:11" ht="15" customHeight="1" x14ac:dyDescent="0.2">
      <c r="A44" s="30" t="s">
        <v>53</v>
      </c>
      <c r="B44" s="95"/>
      <c r="C44" s="40"/>
      <c r="D44" s="40"/>
      <c r="E44" s="57">
        <v>7.5</v>
      </c>
      <c r="F44" s="141">
        <v>40</v>
      </c>
      <c r="G44" s="142"/>
      <c r="H44" s="55"/>
      <c r="I44" s="137"/>
      <c r="J44" s="138"/>
      <c r="K44" s="43">
        <f t="shared" si="8"/>
        <v>300</v>
      </c>
    </row>
    <row r="45" spans="1:11" ht="15" customHeight="1" x14ac:dyDescent="0.2">
      <c r="A45" s="36" t="s">
        <v>4</v>
      </c>
      <c r="B45" s="36"/>
      <c r="C45" s="36"/>
      <c r="D45" s="36"/>
      <c r="E45" s="128">
        <v>20</v>
      </c>
      <c r="F45" s="156">
        <v>6.65</v>
      </c>
      <c r="G45" s="157"/>
      <c r="H45" s="56"/>
      <c r="I45" s="149"/>
      <c r="J45" s="150"/>
      <c r="K45" s="44">
        <f t="shared" si="8"/>
        <v>133</v>
      </c>
    </row>
    <row r="46" spans="1:11" ht="15" customHeight="1" x14ac:dyDescent="0.2">
      <c r="A46" s="69" t="s">
        <v>13</v>
      </c>
      <c r="B46" s="70"/>
      <c r="C46" s="81"/>
      <c r="D46" s="81"/>
      <c r="E46" s="82"/>
      <c r="F46" s="82"/>
      <c r="G46" s="82"/>
      <c r="H46" s="83"/>
      <c r="I46" s="77"/>
      <c r="J46" s="78"/>
      <c r="K46" s="84">
        <f t="shared" si="8"/>
        <v>0</v>
      </c>
    </row>
    <row r="47" spans="1:11" ht="14.1" customHeight="1" x14ac:dyDescent="0.2">
      <c r="A47" s="38" t="s">
        <v>213</v>
      </c>
      <c r="B47" s="38"/>
      <c r="C47" s="36"/>
      <c r="D47" s="36"/>
      <c r="E47" s="89"/>
      <c r="F47" s="139"/>
      <c r="G47" s="140"/>
      <c r="H47" s="56"/>
      <c r="I47" s="149"/>
      <c r="J47" s="150"/>
      <c r="K47" s="44">
        <f t="shared" si="8"/>
        <v>0</v>
      </c>
    </row>
    <row r="48" spans="1:11" ht="14.1" customHeight="1" x14ac:dyDescent="0.2">
      <c r="A48" s="35" t="s">
        <v>11</v>
      </c>
      <c r="B48" s="35"/>
      <c r="C48" s="41"/>
      <c r="D48" s="41"/>
      <c r="E48" s="57"/>
      <c r="F48" s="141"/>
      <c r="G48" s="142"/>
      <c r="H48" s="55"/>
      <c r="I48" s="137"/>
      <c r="J48" s="138"/>
      <c r="K48" s="45">
        <f t="shared" si="8"/>
        <v>0</v>
      </c>
    </row>
    <row r="49" spans="1:11" ht="14.1" customHeight="1" x14ac:dyDescent="0.2">
      <c r="A49" s="38" t="s">
        <v>214</v>
      </c>
      <c r="B49" s="36"/>
      <c r="C49" s="39"/>
      <c r="D49" s="39"/>
      <c r="E49" s="89"/>
      <c r="F49" s="139"/>
      <c r="G49" s="140"/>
      <c r="H49" s="56"/>
      <c r="I49" s="149"/>
      <c r="J49" s="150"/>
      <c r="K49" s="46">
        <f t="shared" si="8"/>
        <v>0</v>
      </c>
    </row>
    <row r="50" spans="1:11" ht="14.1" customHeight="1" x14ac:dyDescent="0.2">
      <c r="A50" s="30"/>
      <c r="B50" s="30"/>
      <c r="C50" s="30"/>
      <c r="D50" s="30"/>
      <c r="E50" s="57"/>
      <c r="F50" s="141"/>
      <c r="G50" s="142"/>
      <c r="H50" s="55"/>
      <c r="I50" s="137"/>
      <c r="J50" s="138"/>
      <c r="K50" s="43">
        <f t="shared" si="8"/>
        <v>0</v>
      </c>
    </row>
    <row r="51" spans="1:11" ht="14.1" customHeight="1" x14ac:dyDescent="0.2">
      <c r="A51" s="36"/>
      <c r="B51" s="36"/>
      <c r="C51" s="36"/>
      <c r="D51" s="36"/>
      <c r="E51" s="89"/>
      <c r="F51" s="139"/>
      <c r="G51" s="140"/>
      <c r="H51" s="56"/>
      <c r="I51" s="149"/>
      <c r="J51" s="150"/>
      <c r="K51" s="44">
        <f t="shared" si="8"/>
        <v>0</v>
      </c>
    </row>
    <row r="52" spans="1:11" ht="14.1" customHeight="1" x14ac:dyDescent="0.2">
      <c r="A52" s="30" t="s">
        <v>227</v>
      </c>
      <c r="B52" s="30"/>
      <c r="C52" s="30"/>
      <c r="D52" s="30"/>
      <c r="E52" s="57">
        <v>1</v>
      </c>
      <c r="F52" s="141">
        <v>120</v>
      </c>
      <c r="G52" s="142"/>
      <c r="H52" s="55"/>
      <c r="I52" s="137"/>
      <c r="J52" s="138"/>
      <c r="K52" s="43">
        <f t="shared" si="8"/>
        <v>120</v>
      </c>
    </row>
    <row r="53" spans="1:11" ht="14.1" customHeight="1" x14ac:dyDescent="0.2">
      <c r="A53" s="36" t="s">
        <v>226</v>
      </c>
      <c r="B53" s="29"/>
      <c r="C53" s="29"/>
      <c r="D53" s="29"/>
      <c r="E53" s="89">
        <v>1</v>
      </c>
      <c r="F53" s="139">
        <v>700</v>
      </c>
      <c r="G53" s="140"/>
      <c r="H53" s="56"/>
      <c r="I53" s="149"/>
      <c r="J53" s="150"/>
      <c r="K53" s="44">
        <f t="shared" si="8"/>
        <v>700</v>
      </c>
    </row>
    <row r="54" spans="1:11" ht="14.1" customHeight="1" x14ac:dyDescent="0.2">
      <c r="A54" s="28"/>
      <c r="B54" s="28"/>
      <c r="C54" s="28"/>
      <c r="D54" s="28"/>
      <c r="E54" s="57"/>
      <c r="F54" s="141"/>
      <c r="G54" s="142"/>
      <c r="H54" s="55"/>
      <c r="I54" s="137"/>
      <c r="J54" s="138"/>
      <c r="K54" s="43">
        <f t="shared" si="8"/>
        <v>0</v>
      </c>
    </row>
    <row r="55" spans="1:11" ht="14.1" customHeight="1" x14ac:dyDescent="0.2">
      <c r="A55" s="29"/>
      <c r="B55" s="29"/>
      <c r="C55" s="29"/>
      <c r="D55" s="29"/>
      <c r="E55" s="89"/>
      <c r="F55" s="139"/>
      <c r="G55" s="140"/>
      <c r="H55" s="56"/>
      <c r="I55" s="149"/>
      <c r="J55" s="150"/>
      <c r="K55" s="44">
        <f t="shared" si="8"/>
        <v>0</v>
      </c>
    </row>
    <row r="56" spans="1:11" ht="15" customHeight="1" x14ac:dyDescent="0.2">
      <c r="A56" s="154" t="s">
        <v>55</v>
      </c>
      <c r="B56" s="155"/>
      <c r="C56" s="155"/>
      <c r="D56" s="155"/>
      <c r="E56" s="155"/>
      <c r="F56" s="155"/>
      <c r="G56" s="155"/>
      <c r="H56" s="155"/>
      <c r="I56" s="66"/>
      <c r="J56" s="66"/>
      <c r="K56" s="90">
        <f>MROUND((ROUND((((SUM(K57:K63))+H69)*3.75%),1)),10)</f>
        <v>700</v>
      </c>
    </row>
    <row r="57" spans="1:11" ht="15" customHeight="1" x14ac:dyDescent="0.2">
      <c r="A57" s="62" t="s">
        <v>9</v>
      </c>
      <c r="B57" s="124" t="s">
        <v>179</v>
      </c>
      <c r="C57" s="124" t="s">
        <v>193</v>
      </c>
      <c r="D57" s="124" t="s">
        <v>6</v>
      </c>
      <c r="E57" s="124" t="s">
        <v>212</v>
      </c>
      <c r="F57" s="127" t="s">
        <v>7</v>
      </c>
      <c r="G57" s="125" t="s">
        <v>42</v>
      </c>
      <c r="H57" s="124" t="s">
        <v>8</v>
      </c>
      <c r="I57" s="87" t="s">
        <v>1</v>
      </c>
      <c r="J57" s="87"/>
      <c r="K57" s="88">
        <f>SUM(K39:K55)+(SUM(K34:K37))+(SUM(K28:K32))+(SUM(K23:K26))+(SUM(K8:K21))+K6</f>
        <v>9872</v>
      </c>
    </row>
    <row r="58" spans="1:11" ht="15" customHeight="1" x14ac:dyDescent="0.2">
      <c r="A58" s="34" t="s">
        <v>221</v>
      </c>
      <c r="B58" s="40">
        <v>4.75</v>
      </c>
      <c r="C58" s="31">
        <v>4.54</v>
      </c>
      <c r="D58" s="47">
        <v>8.5</v>
      </c>
      <c r="E58" s="31">
        <v>2</v>
      </c>
      <c r="F58" s="152">
        <v>77</v>
      </c>
      <c r="G58" s="153"/>
      <c r="H58" s="51">
        <f t="shared" ref="H58" si="10">C58*D58*E58*F58</f>
        <v>5942.8600000000006</v>
      </c>
      <c r="I58" s="91" t="s">
        <v>14</v>
      </c>
      <c r="J58" s="112">
        <v>1.2500000000000001E-2</v>
      </c>
      <c r="K58" s="45">
        <f>MROUND((ROUND(((K57+H69)*J58),1)),10)</f>
        <v>210</v>
      </c>
    </row>
    <row r="59" spans="1:11" ht="15" customHeight="1" x14ac:dyDescent="0.2">
      <c r="A59" s="39" t="s">
        <v>228</v>
      </c>
      <c r="B59" s="39"/>
      <c r="C59" s="32">
        <v>1</v>
      </c>
      <c r="D59" s="48">
        <v>8.5</v>
      </c>
      <c r="E59" s="32">
        <v>1</v>
      </c>
      <c r="F59" s="152">
        <v>77</v>
      </c>
      <c r="G59" s="153"/>
      <c r="H59" s="50">
        <f>C59*D59*E59*F59</f>
        <v>654.5</v>
      </c>
      <c r="I59" s="143" t="s">
        <v>12</v>
      </c>
      <c r="J59" s="143"/>
      <c r="K59" s="46">
        <v>450</v>
      </c>
    </row>
    <row r="60" spans="1:11" ht="15" customHeight="1" x14ac:dyDescent="0.2">
      <c r="A60" s="40"/>
      <c r="B60" s="40"/>
      <c r="C60" s="31"/>
      <c r="D60" s="47">
        <v>8.5</v>
      </c>
      <c r="E60" s="31">
        <v>2</v>
      </c>
      <c r="F60" s="152">
        <v>74</v>
      </c>
      <c r="G60" s="153"/>
      <c r="H60" s="51">
        <f t="shared" ref="H60:H68" si="11">C60*D60*E60*F60</f>
        <v>0</v>
      </c>
      <c r="I60" s="143" t="s">
        <v>219</v>
      </c>
      <c r="J60" s="143"/>
      <c r="K60" s="45">
        <v>360</v>
      </c>
    </row>
    <row r="61" spans="1:11" ht="15" customHeight="1" x14ac:dyDescent="0.2">
      <c r="A61" s="33"/>
      <c r="B61" s="33"/>
      <c r="C61" s="32"/>
      <c r="D61" s="48">
        <v>8.5</v>
      </c>
      <c r="E61" s="32">
        <v>2</v>
      </c>
      <c r="F61" s="152">
        <v>74</v>
      </c>
      <c r="G61" s="153"/>
      <c r="H61" s="50">
        <f t="shared" si="11"/>
        <v>0</v>
      </c>
      <c r="I61" s="143" t="s">
        <v>177</v>
      </c>
      <c r="J61" s="143"/>
      <c r="K61" s="93">
        <v>600</v>
      </c>
    </row>
    <row r="62" spans="1:11" ht="16.5" customHeight="1" x14ac:dyDescent="0.2">
      <c r="A62" s="40"/>
      <c r="B62" s="40"/>
      <c r="C62" s="31"/>
      <c r="D62" s="47">
        <v>8.5</v>
      </c>
      <c r="E62" s="31">
        <v>2</v>
      </c>
      <c r="F62" s="152">
        <v>74</v>
      </c>
      <c r="G62" s="153"/>
      <c r="H62" s="51">
        <f t="shared" si="11"/>
        <v>0</v>
      </c>
      <c r="I62" s="143" t="s">
        <v>178</v>
      </c>
      <c r="J62" s="143"/>
      <c r="K62" s="45">
        <v>500</v>
      </c>
    </row>
    <row r="63" spans="1:11" ht="15" customHeight="1" x14ac:dyDescent="0.2">
      <c r="A63" s="33"/>
      <c r="B63" s="33"/>
      <c r="C63" s="32"/>
      <c r="D63" s="48">
        <v>8.5</v>
      </c>
      <c r="E63" s="32">
        <v>2</v>
      </c>
      <c r="F63" s="152">
        <v>74</v>
      </c>
      <c r="G63" s="153"/>
      <c r="H63" s="50">
        <f t="shared" si="11"/>
        <v>0</v>
      </c>
      <c r="I63" s="143" t="s">
        <v>220</v>
      </c>
      <c r="J63" s="143"/>
      <c r="K63" s="46">
        <v>0</v>
      </c>
    </row>
    <row r="64" spans="1:11" ht="15" customHeight="1" x14ac:dyDescent="0.2">
      <c r="A64" s="40"/>
      <c r="B64" s="40"/>
      <c r="C64" s="31"/>
      <c r="D64" s="47">
        <v>8.5</v>
      </c>
      <c r="E64" s="31">
        <v>2</v>
      </c>
      <c r="F64" s="152">
        <v>74</v>
      </c>
      <c r="G64" s="153"/>
      <c r="H64" s="51">
        <f t="shared" si="11"/>
        <v>0</v>
      </c>
      <c r="I64" s="91"/>
      <c r="J64" s="91" t="s">
        <v>218</v>
      </c>
      <c r="K64" s="45">
        <v>50</v>
      </c>
    </row>
    <row r="65" spans="1:12" ht="15" customHeight="1" x14ac:dyDescent="0.2">
      <c r="A65" s="33"/>
      <c r="B65" s="33"/>
      <c r="C65" s="32"/>
      <c r="D65" s="48">
        <v>8.5</v>
      </c>
      <c r="E65" s="32">
        <v>2</v>
      </c>
      <c r="F65" s="152">
        <v>74</v>
      </c>
      <c r="G65" s="153"/>
      <c r="H65" s="50">
        <f t="shared" si="11"/>
        <v>0</v>
      </c>
      <c r="I65" s="91" t="s">
        <v>44</v>
      </c>
      <c r="J65" s="113">
        <v>3.7499999999999999E-2</v>
      </c>
      <c r="K65" s="3">
        <f>MROUND((ROUND((((SUM(K57:K63))+H69)*J65),1)),10)</f>
        <v>700</v>
      </c>
      <c r="L65" s="3"/>
    </row>
    <row r="66" spans="1:12" ht="15" customHeight="1" x14ac:dyDescent="0.2">
      <c r="A66" s="40"/>
      <c r="B66" s="40"/>
      <c r="C66" s="31"/>
      <c r="D66" s="47">
        <v>8.5</v>
      </c>
      <c r="E66" s="31">
        <v>2</v>
      </c>
      <c r="F66" s="152">
        <v>74</v>
      </c>
      <c r="G66" s="153"/>
      <c r="H66" s="51">
        <f t="shared" si="11"/>
        <v>0</v>
      </c>
      <c r="I66" s="143" t="s">
        <v>1</v>
      </c>
      <c r="J66" s="143"/>
      <c r="K66" s="45">
        <f>SUM(K56:K65)+H69</f>
        <v>20039.36</v>
      </c>
    </row>
    <row r="67" spans="1:12" ht="15" customHeight="1" x14ac:dyDescent="0.2">
      <c r="A67" s="33"/>
      <c r="B67" s="33"/>
      <c r="C67" s="32"/>
      <c r="D67" s="48">
        <v>8.5</v>
      </c>
      <c r="E67" s="32">
        <v>2</v>
      </c>
      <c r="F67" s="152">
        <v>74</v>
      </c>
      <c r="G67" s="153"/>
      <c r="H67" s="50">
        <f t="shared" si="11"/>
        <v>0</v>
      </c>
      <c r="I67" s="91" t="s">
        <v>43</v>
      </c>
      <c r="J67" s="113">
        <v>0.28999999999999998</v>
      </c>
      <c r="K67" s="3">
        <f>K66*J67</f>
        <v>5811.4143999999997</v>
      </c>
    </row>
    <row r="68" spans="1:12" ht="15" customHeight="1" x14ac:dyDescent="0.2">
      <c r="A68" s="40"/>
      <c r="B68" s="40"/>
      <c r="C68" s="31"/>
      <c r="D68" s="47">
        <v>8.5</v>
      </c>
      <c r="E68" s="31">
        <v>2</v>
      </c>
      <c r="F68" s="152">
        <v>74</v>
      </c>
      <c r="G68" s="153"/>
      <c r="H68" s="51">
        <f t="shared" si="11"/>
        <v>0</v>
      </c>
      <c r="I68" s="91" t="s">
        <v>22</v>
      </c>
      <c r="J68" s="91" t="s">
        <v>23</v>
      </c>
      <c r="K68" s="45">
        <f>IF(J68='!'!A2,MIN(IF(K66+K65+K67&gt;20000,((K66+K65+K67)*0.0025),0),500),0)</f>
        <v>0</v>
      </c>
    </row>
    <row r="69" spans="1:12" ht="21.75" customHeight="1" x14ac:dyDescent="0.2">
      <c r="A69" s="118"/>
      <c r="B69" s="102" t="s">
        <v>56</v>
      </c>
      <c r="C69" s="85">
        <f>SUM(C58:C68)</f>
        <v>5.54</v>
      </c>
      <c r="D69" s="85">
        <f>(C59*D59*E59)+(C60*D60*E60)+(C61*D61*E61)+(C62*D62*E62)+(C63*D63*E63)+(C65*D65*E65)+(C66*D66*E66)+(C67*D67*E67)+(C68*D68*E68)+(C58*D58*E58)+(C64*D64*E64)</f>
        <v>85.68</v>
      </c>
      <c r="E69" s="151" t="s">
        <v>38</v>
      </c>
      <c r="F69" s="151"/>
      <c r="G69" s="151"/>
      <c r="H69" s="86">
        <f>SUM(H58:H68)</f>
        <v>6597.3600000000006</v>
      </c>
      <c r="I69" s="129" t="s">
        <v>37</v>
      </c>
      <c r="J69" s="92"/>
      <c r="K69" s="130">
        <f>SUM(K66:K68)</f>
        <v>25850.774400000002</v>
      </c>
    </row>
    <row r="70" spans="1:12" x14ac:dyDescent="0.2">
      <c r="A70" s="97"/>
      <c r="B70" s="101" t="s">
        <v>57</v>
      </c>
      <c r="C70" s="97">
        <f>(C58*E58)+(C59*E59)+(C60*E60)+(C61*E61)+(C62*E62)+(C63*E63)+(C65*E65)+(C66*E66)+(C67*E67)+(C68*E68)</f>
        <v>10.08</v>
      </c>
      <c r="D70" s="97"/>
      <c r="E70" s="97"/>
      <c r="F70" s="97"/>
      <c r="G70" s="103" t="s">
        <v>48</v>
      </c>
      <c r="H70" s="97">
        <f>SUM(E8:E21)</f>
        <v>1251</v>
      </c>
      <c r="I70" s="98" t="s">
        <v>215</v>
      </c>
      <c r="J70" s="99"/>
      <c r="K70" s="100">
        <f>K69/H70</f>
        <v>20.664088249400482</v>
      </c>
    </row>
    <row r="71" spans="1:12" x14ac:dyDescent="0.2">
      <c r="A71" s="27" t="s">
        <v>174</v>
      </c>
    </row>
    <row r="72" spans="1:12" x14ac:dyDescent="0.2">
      <c r="A72" s="1"/>
      <c r="B72" s="1"/>
    </row>
  </sheetData>
  <dataConsolidate/>
  <mergeCells count="114">
    <mergeCell ref="H1:J1"/>
    <mergeCell ref="H2:K2"/>
    <mergeCell ref="A1:G2"/>
    <mergeCell ref="F41:G41"/>
    <mergeCell ref="A3:H3"/>
    <mergeCell ref="I3:K5"/>
    <mergeCell ref="I21:J21"/>
    <mergeCell ref="F17:G17"/>
    <mergeCell ref="A4:H4"/>
    <mergeCell ref="F7:G7"/>
    <mergeCell ref="F8:G8"/>
    <mergeCell ref="I15:J15"/>
    <mergeCell ref="I23:J23"/>
    <mergeCell ref="I16:J16"/>
    <mergeCell ref="F20:G20"/>
    <mergeCell ref="I20:J20"/>
    <mergeCell ref="A5:H5"/>
    <mergeCell ref="F9:G9"/>
    <mergeCell ref="I8:J8"/>
    <mergeCell ref="I7:J7"/>
    <mergeCell ref="I37:J37"/>
    <mergeCell ref="I39:J39"/>
    <mergeCell ref="I36:J36"/>
    <mergeCell ref="I40:J40"/>
    <mergeCell ref="F45:G45"/>
    <mergeCell ref="F36:G36"/>
    <mergeCell ref="F37:G37"/>
    <mergeCell ref="F39:G39"/>
    <mergeCell ref="F40:G40"/>
    <mergeCell ref="F30:G30"/>
    <mergeCell ref="F31:G31"/>
    <mergeCell ref="F32:G32"/>
    <mergeCell ref="F34:G34"/>
    <mergeCell ref="F35:G35"/>
    <mergeCell ref="F43:G43"/>
    <mergeCell ref="F44:G44"/>
    <mergeCell ref="F42:G42"/>
    <mergeCell ref="I54:J54"/>
    <mergeCell ref="F58:G58"/>
    <mergeCell ref="F55:G55"/>
    <mergeCell ref="F54:G54"/>
    <mergeCell ref="A56:H56"/>
    <mergeCell ref="I48:J48"/>
    <mergeCell ref="I50:J50"/>
    <mergeCell ref="I47:J47"/>
    <mergeCell ref="I49:J49"/>
    <mergeCell ref="F47:G47"/>
    <mergeCell ref="F48:G48"/>
    <mergeCell ref="F49:G49"/>
    <mergeCell ref="F50:G50"/>
    <mergeCell ref="F53:G53"/>
    <mergeCell ref="F51:G51"/>
    <mergeCell ref="F52:G52"/>
    <mergeCell ref="I51:J51"/>
    <mergeCell ref="I53:J53"/>
    <mergeCell ref="I52:J52"/>
    <mergeCell ref="I41:J41"/>
    <mergeCell ref="F24:G24"/>
    <mergeCell ref="I34:J34"/>
    <mergeCell ref="I43:J43"/>
    <mergeCell ref="E69:G69"/>
    <mergeCell ref="F63:G63"/>
    <mergeCell ref="I63:J63"/>
    <mergeCell ref="F65:G65"/>
    <mergeCell ref="F66:G66"/>
    <mergeCell ref="F67:G67"/>
    <mergeCell ref="F60:G60"/>
    <mergeCell ref="I60:J60"/>
    <mergeCell ref="F61:G61"/>
    <mergeCell ref="I62:J62"/>
    <mergeCell ref="F62:G62"/>
    <mergeCell ref="I66:J66"/>
    <mergeCell ref="F64:G64"/>
    <mergeCell ref="F68:G68"/>
    <mergeCell ref="I61:J61"/>
    <mergeCell ref="F59:G59"/>
    <mergeCell ref="I59:J59"/>
    <mergeCell ref="I55:J55"/>
    <mergeCell ref="I45:J45"/>
    <mergeCell ref="I42:J42"/>
    <mergeCell ref="I12:J12"/>
    <mergeCell ref="I14:J14"/>
    <mergeCell ref="I13:J13"/>
    <mergeCell ref="I26:J26"/>
    <mergeCell ref="I28:J28"/>
    <mergeCell ref="I30:J30"/>
    <mergeCell ref="I32:J32"/>
    <mergeCell ref="I25:J25"/>
    <mergeCell ref="I29:J29"/>
    <mergeCell ref="I31:J31"/>
    <mergeCell ref="I44:J44"/>
    <mergeCell ref="F10:G10"/>
    <mergeCell ref="F11:G11"/>
    <mergeCell ref="F12:G12"/>
    <mergeCell ref="F13:G13"/>
    <mergeCell ref="I6:J6"/>
    <mergeCell ref="F25:G25"/>
    <mergeCell ref="F26:G26"/>
    <mergeCell ref="F28:G28"/>
    <mergeCell ref="F29:G29"/>
    <mergeCell ref="F14:G14"/>
    <mergeCell ref="F15:G15"/>
    <mergeCell ref="F21:G21"/>
    <mergeCell ref="F22:G22"/>
    <mergeCell ref="F23:G23"/>
    <mergeCell ref="F16:G16"/>
    <mergeCell ref="I18:J18"/>
    <mergeCell ref="I17:J17"/>
    <mergeCell ref="F19:G19"/>
    <mergeCell ref="I19:J19"/>
    <mergeCell ref="I11:J11"/>
    <mergeCell ref="F18:G18"/>
    <mergeCell ref="I9:J9"/>
    <mergeCell ref="I10:J10"/>
  </mergeCells>
  <conditionalFormatting sqref="E8">
    <cfRule type="expression" dxfId="235" priority="575" stopIfTrue="1">
      <formula>E8&lt;&gt;""</formula>
    </cfRule>
    <cfRule type="expression" dxfId="234" priority="577" stopIfTrue="1">
      <formula>A8&lt;&gt;""</formula>
    </cfRule>
  </conditionalFormatting>
  <conditionalFormatting sqref="F8">
    <cfRule type="expression" dxfId="233" priority="574" stopIfTrue="1">
      <formula>F8&lt;&gt;""</formula>
    </cfRule>
    <cfRule type="expression" dxfId="232" priority="576" stopIfTrue="1">
      <formula>A8&lt;&gt;""</formula>
    </cfRule>
  </conditionalFormatting>
  <conditionalFormatting sqref="C59">
    <cfRule type="expression" dxfId="231" priority="572" stopIfTrue="1">
      <formula>C59&lt;&gt;""</formula>
    </cfRule>
    <cfRule type="expression" dxfId="230" priority="573" stopIfTrue="1">
      <formula>A59&lt;&gt;""</formula>
    </cfRule>
  </conditionalFormatting>
  <conditionalFormatting sqref="D59">
    <cfRule type="expression" dxfId="229" priority="564" stopIfTrue="1">
      <formula>D59&lt;&gt;""</formula>
    </cfRule>
    <cfRule type="expression" dxfId="228" priority="565" stopIfTrue="1">
      <formula>A59&lt;&gt;""</formula>
    </cfRule>
  </conditionalFormatting>
  <conditionalFormatting sqref="K59">
    <cfRule type="expression" dxfId="227" priority="562">
      <formula>K59&lt;&gt;""</formula>
    </cfRule>
    <cfRule type="expression" dxfId="226" priority="563">
      <formula>A59&lt;&gt;""</formula>
    </cfRule>
  </conditionalFormatting>
  <conditionalFormatting sqref="K60">
    <cfRule type="expression" dxfId="225" priority="558" stopIfTrue="1">
      <formula>K60&lt;&gt;""</formula>
    </cfRule>
    <cfRule type="expression" dxfId="224" priority="559" stopIfTrue="1">
      <formula>A59&lt;&gt;""</formula>
    </cfRule>
  </conditionalFormatting>
  <conditionalFormatting sqref="K6">
    <cfRule type="expression" dxfId="223" priority="554" stopIfTrue="1">
      <formula>K6&lt;&gt;""</formula>
    </cfRule>
    <cfRule type="expression" dxfId="222" priority="555" stopIfTrue="1">
      <formula>A8&lt;&gt;""</formula>
    </cfRule>
  </conditionalFormatting>
  <conditionalFormatting sqref="E11">
    <cfRule type="expression" dxfId="221" priority="551" stopIfTrue="1">
      <formula>E11&lt;&gt;""</formula>
    </cfRule>
    <cfRule type="expression" dxfId="220" priority="553" stopIfTrue="1">
      <formula>A11&lt;&gt;""</formula>
    </cfRule>
  </conditionalFormatting>
  <conditionalFormatting sqref="F11">
    <cfRule type="expression" dxfId="219" priority="550" stopIfTrue="1">
      <formula>F11&lt;&gt;""</formula>
    </cfRule>
    <cfRule type="expression" dxfId="218" priority="552" stopIfTrue="1">
      <formula>A11&lt;&gt;""</formula>
    </cfRule>
  </conditionalFormatting>
  <conditionalFormatting sqref="E9">
    <cfRule type="expression" dxfId="217" priority="539" stopIfTrue="1">
      <formula>E9&lt;&gt;""</formula>
    </cfRule>
    <cfRule type="expression" dxfId="216" priority="541" stopIfTrue="1">
      <formula>A9&lt;&gt;""</formula>
    </cfRule>
  </conditionalFormatting>
  <conditionalFormatting sqref="F9">
    <cfRule type="expression" dxfId="215" priority="538" stopIfTrue="1">
      <formula>F9&lt;&gt;""</formula>
    </cfRule>
    <cfRule type="expression" dxfId="214" priority="540" stopIfTrue="1">
      <formula>A9&lt;&gt;""</formula>
    </cfRule>
  </conditionalFormatting>
  <conditionalFormatting sqref="E23">
    <cfRule type="expression" dxfId="213" priority="535" stopIfTrue="1">
      <formula>E23&lt;&gt;""</formula>
    </cfRule>
    <cfRule type="expression" dxfId="212" priority="537" stopIfTrue="1">
      <formula>A23&lt;&gt;""</formula>
    </cfRule>
  </conditionalFormatting>
  <conditionalFormatting sqref="F23">
    <cfRule type="expression" dxfId="211" priority="534" stopIfTrue="1">
      <formula>F23&lt;&gt;""</formula>
    </cfRule>
    <cfRule type="expression" dxfId="210" priority="536" stopIfTrue="1">
      <formula>A23&lt;&gt;""</formula>
    </cfRule>
  </conditionalFormatting>
  <conditionalFormatting sqref="E62">
    <cfRule type="expression" dxfId="209" priority="455" stopIfTrue="1">
      <formula>E62&lt;&gt;""</formula>
    </cfRule>
    <cfRule type="expression" dxfId="208" priority="457" stopIfTrue="1">
      <formula>A62&lt;&gt;""</formula>
    </cfRule>
  </conditionalFormatting>
  <conditionalFormatting sqref="C62">
    <cfRule type="expression" dxfId="207" priority="452" stopIfTrue="1">
      <formula>C62&lt;&gt;""</formula>
    </cfRule>
    <cfRule type="expression" dxfId="206" priority="453" stopIfTrue="1">
      <formula>A62&lt;&gt;""</formula>
    </cfRule>
  </conditionalFormatting>
  <conditionalFormatting sqref="D62">
    <cfRule type="expression" dxfId="205" priority="450" stopIfTrue="1">
      <formula>D62&lt;&gt;""</formula>
    </cfRule>
    <cfRule type="expression" dxfId="204" priority="451" stopIfTrue="1">
      <formula>A62&lt;&gt;""</formula>
    </cfRule>
  </conditionalFormatting>
  <conditionalFormatting sqref="E66 E68">
    <cfRule type="expression" dxfId="203" priority="447" stopIfTrue="1">
      <formula>E66&lt;&gt;""</formula>
    </cfRule>
    <cfRule type="expression" dxfId="202" priority="449" stopIfTrue="1">
      <formula>A66&lt;&gt;""</formula>
    </cfRule>
  </conditionalFormatting>
  <conditionalFormatting sqref="C64 C66 C68">
    <cfRule type="expression" dxfId="201" priority="444" stopIfTrue="1">
      <formula>C64&lt;&gt;""</formula>
    </cfRule>
    <cfRule type="expression" dxfId="200" priority="445" stopIfTrue="1">
      <formula>A64&lt;&gt;""</formula>
    </cfRule>
  </conditionalFormatting>
  <conditionalFormatting sqref="D66 D68">
    <cfRule type="expression" dxfId="199" priority="442" stopIfTrue="1">
      <formula>D66&lt;&gt;""</formula>
    </cfRule>
    <cfRule type="expression" dxfId="198" priority="443" stopIfTrue="1">
      <formula>A66&lt;&gt;""</formula>
    </cfRule>
  </conditionalFormatting>
  <conditionalFormatting sqref="E61">
    <cfRule type="expression" dxfId="197" priority="431" stopIfTrue="1">
      <formula>E61&lt;&gt;""</formula>
    </cfRule>
    <cfRule type="expression" dxfId="196" priority="433" stopIfTrue="1">
      <formula>A61&lt;&gt;""</formula>
    </cfRule>
  </conditionalFormatting>
  <conditionalFormatting sqref="C61">
    <cfRule type="expression" dxfId="195" priority="428" stopIfTrue="1">
      <formula>C61&lt;&gt;""</formula>
    </cfRule>
    <cfRule type="expression" dxfId="194" priority="429" stopIfTrue="1">
      <formula>A61&lt;&gt;""</formula>
    </cfRule>
  </conditionalFormatting>
  <conditionalFormatting sqref="D61">
    <cfRule type="expression" dxfId="193" priority="426" stopIfTrue="1">
      <formula>D61&lt;&gt;""</formula>
    </cfRule>
    <cfRule type="expression" dxfId="192" priority="427" stopIfTrue="1">
      <formula>A61&lt;&gt;""</formula>
    </cfRule>
  </conditionalFormatting>
  <conditionalFormatting sqref="E63">
    <cfRule type="expression" dxfId="191" priority="423" stopIfTrue="1">
      <formula>E63&lt;&gt;""</formula>
    </cfRule>
    <cfRule type="expression" dxfId="190" priority="425" stopIfTrue="1">
      <formula>A63&lt;&gt;""</formula>
    </cfRule>
  </conditionalFormatting>
  <conditionalFormatting sqref="C63">
    <cfRule type="expression" dxfId="189" priority="420" stopIfTrue="1">
      <formula>C63&lt;&gt;""</formula>
    </cfRule>
    <cfRule type="expression" dxfId="188" priority="421" stopIfTrue="1">
      <formula>A63&lt;&gt;""</formula>
    </cfRule>
  </conditionalFormatting>
  <conditionalFormatting sqref="D63">
    <cfRule type="expression" dxfId="187" priority="418" stopIfTrue="1">
      <formula>D63&lt;&gt;""</formula>
    </cfRule>
    <cfRule type="expression" dxfId="186" priority="419" stopIfTrue="1">
      <formula>A63&lt;&gt;""</formula>
    </cfRule>
  </conditionalFormatting>
  <conditionalFormatting sqref="E60">
    <cfRule type="expression" dxfId="185" priority="399" stopIfTrue="1">
      <formula>E60&lt;&gt;""</formula>
    </cfRule>
    <cfRule type="expression" dxfId="184" priority="401" stopIfTrue="1">
      <formula>A60&lt;&gt;""</formula>
    </cfRule>
  </conditionalFormatting>
  <conditionalFormatting sqref="C60">
    <cfRule type="expression" dxfId="183" priority="396" stopIfTrue="1">
      <formula>C60&lt;&gt;""</formula>
    </cfRule>
    <cfRule type="expression" dxfId="182" priority="397" stopIfTrue="1">
      <formula>A60&lt;&gt;""</formula>
    </cfRule>
  </conditionalFormatting>
  <conditionalFormatting sqref="D60">
    <cfRule type="expression" dxfId="181" priority="394" stopIfTrue="1">
      <formula>D60&lt;&gt;""</formula>
    </cfRule>
    <cfRule type="expression" dxfId="180" priority="395" stopIfTrue="1">
      <formula>A60&lt;&gt;""</formula>
    </cfRule>
  </conditionalFormatting>
  <conditionalFormatting sqref="I8:J8">
    <cfRule type="cellIs" dxfId="179" priority="346" operator="between">
      <formula>0.01</formula>
      <formula>100000</formula>
    </cfRule>
    <cfRule type="containsText" dxfId="178" priority="347" operator="containsText" text="0,00">
      <formula>NOT(ISERROR(SEARCH("0,00",I8)))</formula>
    </cfRule>
  </conditionalFormatting>
  <conditionalFormatting sqref="I10:J10">
    <cfRule type="cellIs" dxfId="177" priority="343" operator="between">
      <formula>0.01</formula>
      <formula>100000</formula>
    </cfRule>
    <cfRule type="containsText" dxfId="176" priority="344" operator="containsText" text="0,00">
      <formula>NOT(ISERROR(SEARCH("0,00",I10)))</formula>
    </cfRule>
  </conditionalFormatting>
  <conditionalFormatting sqref="I12:J12">
    <cfRule type="cellIs" dxfId="175" priority="340" operator="between">
      <formula>0.01</formula>
      <formula>100000</formula>
    </cfRule>
    <cfRule type="containsText" dxfId="174" priority="341" operator="containsText" text="0,00">
      <formula>NOT(ISERROR(SEARCH("0,00",I12)))</formula>
    </cfRule>
  </conditionalFormatting>
  <conditionalFormatting sqref="I9:J9">
    <cfRule type="cellIs" dxfId="173" priority="331" operator="between">
      <formula>0.01</formula>
      <formula>100000</formula>
    </cfRule>
    <cfRule type="containsText" dxfId="172" priority="332" operator="containsText" text="0,00">
      <formula>NOT(ISERROR(SEARCH("0,00",I9)))</formula>
    </cfRule>
  </conditionalFormatting>
  <conditionalFormatting sqref="I11:J11">
    <cfRule type="cellIs" dxfId="171" priority="328" operator="between">
      <formula>0.01</formula>
      <formula>100000</formula>
    </cfRule>
    <cfRule type="containsText" dxfId="170" priority="329" operator="containsText" text="0,00">
      <formula>NOT(ISERROR(SEARCH("0,00",I11)))</formula>
    </cfRule>
  </conditionalFormatting>
  <conditionalFormatting sqref="E24">
    <cfRule type="expression" dxfId="169" priority="318" stopIfTrue="1">
      <formula>E24&lt;&gt;""</formula>
    </cfRule>
    <cfRule type="expression" dxfId="168" priority="320" stopIfTrue="1">
      <formula>A24&lt;&gt;""</formula>
    </cfRule>
  </conditionalFormatting>
  <conditionalFormatting sqref="F24">
    <cfRule type="expression" dxfId="167" priority="317" stopIfTrue="1">
      <formula>F24&lt;&gt;""</formula>
    </cfRule>
    <cfRule type="expression" dxfId="166" priority="319" stopIfTrue="1">
      <formula>A24&lt;&gt;""</formula>
    </cfRule>
  </conditionalFormatting>
  <conditionalFormatting sqref="E29">
    <cfRule type="expression" dxfId="165" priority="298" stopIfTrue="1">
      <formula>E29&lt;&gt;""</formula>
    </cfRule>
    <cfRule type="expression" dxfId="164" priority="300" stopIfTrue="1">
      <formula>A29&lt;&gt;""</formula>
    </cfRule>
  </conditionalFormatting>
  <conditionalFormatting sqref="F29">
    <cfRule type="expression" dxfId="163" priority="297" stopIfTrue="1">
      <formula>F29&lt;&gt;""</formula>
    </cfRule>
    <cfRule type="expression" dxfId="162" priority="299" stopIfTrue="1">
      <formula>A29&lt;&gt;""</formula>
    </cfRule>
  </conditionalFormatting>
  <conditionalFormatting sqref="E31">
    <cfRule type="expression" dxfId="161" priority="294" stopIfTrue="1">
      <formula>E31&lt;&gt;""</formula>
    </cfRule>
    <cfRule type="expression" dxfId="160" priority="296" stopIfTrue="1">
      <formula>A31&lt;&gt;""</formula>
    </cfRule>
  </conditionalFormatting>
  <conditionalFormatting sqref="F31">
    <cfRule type="expression" dxfId="159" priority="293" stopIfTrue="1">
      <formula>F31&lt;&gt;""</formula>
    </cfRule>
    <cfRule type="expression" dxfId="158" priority="295" stopIfTrue="1">
      <formula>A31&lt;&gt;""</formula>
    </cfRule>
  </conditionalFormatting>
  <conditionalFormatting sqref="E25">
    <cfRule type="expression" dxfId="157" priority="286" stopIfTrue="1">
      <formula>E25&lt;&gt;""</formula>
    </cfRule>
    <cfRule type="expression" dxfId="156" priority="288" stopIfTrue="1">
      <formula>A25&lt;&gt;""</formula>
    </cfRule>
  </conditionalFormatting>
  <conditionalFormatting sqref="F25">
    <cfRule type="expression" dxfId="155" priority="285" stopIfTrue="1">
      <formula>F25&lt;&gt;""</formula>
    </cfRule>
    <cfRule type="expression" dxfId="154" priority="287" stopIfTrue="1">
      <formula>A25&lt;&gt;""</formula>
    </cfRule>
  </conditionalFormatting>
  <conditionalFormatting sqref="E35">
    <cfRule type="expression" dxfId="153" priority="266" stopIfTrue="1">
      <formula>E35&lt;&gt;""</formula>
    </cfRule>
    <cfRule type="expression" dxfId="152" priority="268" stopIfTrue="1">
      <formula>A35&lt;&gt;""</formula>
    </cfRule>
  </conditionalFormatting>
  <conditionalFormatting sqref="F35">
    <cfRule type="expression" dxfId="151" priority="265" stopIfTrue="1">
      <formula>F35&lt;&gt;""</formula>
    </cfRule>
    <cfRule type="expression" dxfId="150" priority="267" stopIfTrue="1">
      <formula>A35&lt;&gt;""</formula>
    </cfRule>
  </conditionalFormatting>
  <conditionalFormatting sqref="E37">
    <cfRule type="expression" dxfId="149" priority="262" stopIfTrue="1">
      <formula>E37&lt;&gt;""</formula>
    </cfRule>
    <cfRule type="expression" dxfId="148" priority="264" stopIfTrue="1">
      <formula>A37&lt;&gt;""</formula>
    </cfRule>
  </conditionalFormatting>
  <conditionalFormatting sqref="F37">
    <cfRule type="expression" dxfId="147" priority="261" stopIfTrue="1">
      <formula>F37&lt;&gt;""</formula>
    </cfRule>
    <cfRule type="expression" dxfId="146" priority="263" stopIfTrue="1">
      <formula>A37&lt;&gt;""</formula>
    </cfRule>
  </conditionalFormatting>
  <conditionalFormatting sqref="E42">
    <cfRule type="expression" dxfId="145" priority="242" stopIfTrue="1">
      <formula>E42&lt;&gt;""</formula>
    </cfRule>
    <cfRule type="expression" dxfId="144" priority="244" stopIfTrue="1">
      <formula>A42&lt;&gt;""</formula>
    </cfRule>
  </conditionalFormatting>
  <conditionalFormatting sqref="F42">
    <cfRule type="expression" dxfId="143" priority="241" stopIfTrue="1">
      <formula>F42&lt;&gt;""</formula>
    </cfRule>
    <cfRule type="expression" dxfId="142" priority="243" stopIfTrue="1">
      <formula>A42&lt;&gt;""</formula>
    </cfRule>
  </conditionalFormatting>
  <conditionalFormatting sqref="E40">
    <cfRule type="expression" dxfId="141" priority="234" stopIfTrue="1">
      <formula>E40&lt;&gt;""</formula>
    </cfRule>
    <cfRule type="expression" dxfId="140" priority="236" stopIfTrue="1">
      <formula>A40&lt;&gt;""</formula>
    </cfRule>
  </conditionalFormatting>
  <conditionalFormatting sqref="F40">
    <cfRule type="expression" dxfId="139" priority="233" stopIfTrue="1">
      <formula>F40&lt;&gt;""</formula>
    </cfRule>
    <cfRule type="expression" dxfId="138" priority="235" stopIfTrue="1">
      <formula>A40&lt;&gt;""</formula>
    </cfRule>
  </conditionalFormatting>
  <conditionalFormatting sqref="E52">
    <cfRule type="expression" dxfId="137" priority="222" stopIfTrue="1">
      <formula>E52&lt;&gt;""</formula>
    </cfRule>
    <cfRule type="expression" dxfId="136" priority="224" stopIfTrue="1">
      <formula>A52&lt;&gt;""</formula>
    </cfRule>
  </conditionalFormatting>
  <conditionalFormatting sqref="F52">
    <cfRule type="expression" dxfId="135" priority="221" stopIfTrue="1">
      <formula>F52&lt;&gt;""</formula>
    </cfRule>
    <cfRule type="expression" dxfId="134" priority="223" stopIfTrue="1">
      <formula>A52&lt;&gt;""</formula>
    </cfRule>
  </conditionalFormatting>
  <conditionalFormatting sqref="E54">
    <cfRule type="expression" dxfId="133" priority="210" stopIfTrue="1">
      <formula>E54&lt;&gt;""</formula>
    </cfRule>
    <cfRule type="expression" dxfId="132" priority="212" stopIfTrue="1">
      <formula>A54&lt;&gt;""</formula>
    </cfRule>
  </conditionalFormatting>
  <conditionalFormatting sqref="F54">
    <cfRule type="expression" dxfId="131" priority="209" stopIfTrue="1">
      <formula>F54&lt;&gt;""</formula>
    </cfRule>
    <cfRule type="expression" dxfId="130" priority="211" stopIfTrue="1">
      <formula>A54&lt;&gt;""</formula>
    </cfRule>
  </conditionalFormatting>
  <conditionalFormatting sqref="E10">
    <cfRule type="expression" dxfId="129" priority="206" stopIfTrue="1">
      <formula>E10&lt;&gt;""</formula>
    </cfRule>
    <cfRule type="expression" dxfId="128" priority="208" stopIfTrue="1">
      <formula>A10&lt;&gt;""</formula>
    </cfRule>
  </conditionalFormatting>
  <conditionalFormatting sqref="F10">
    <cfRule type="expression" dxfId="127" priority="205" stopIfTrue="1">
      <formula>F10&lt;&gt;""</formula>
    </cfRule>
    <cfRule type="expression" dxfId="126" priority="207" stopIfTrue="1">
      <formula>A10&lt;&gt;""</formula>
    </cfRule>
  </conditionalFormatting>
  <conditionalFormatting sqref="E12">
    <cfRule type="expression" dxfId="125" priority="202" stopIfTrue="1">
      <formula>E12&lt;&gt;""</formula>
    </cfRule>
    <cfRule type="expression" dxfId="124" priority="204" stopIfTrue="1">
      <formula>A12&lt;&gt;""</formula>
    </cfRule>
  </conditionalFormatting>
  <conditionalFormatting sqref="F12">
    <cfRule type="expression" dxfId="123" priority="201" stopIfTrue="1">
      <formula>F12&lt;&gt;""</formula>
    </cfRule>
    <cfRule type="expression" dxfId="122" priority="203" stopIfTrue="1">
      <formula>A12&lt;&gt;""</formula>
    </cfRule>
  </conditionalFormatting>
  <conditionalFormatting sqref="E28">
    <cfRule type="expression" dxfId="121" priority="190" stopIfTrue="1">
      <formula>E28&lt;&gt;""</formula>
    </cfRule>
    <cfRule type="expression" dxfId="120" priority="192" stopIfTrue="1">
      <formula>A28&lt;&gt;""</formula>
    </cfRule>
  </conditionalFormatting>
  <conditionalFormatting sqref="F28">
    <cfRule type="expression" dxfId="119" priority="189" stopIfTrue="1">
      <formula>F28&lt;&gt;""</formula>
    </cfRule>
    <cfRule type="expression" dxfId="118" priority="191" stopIfTrue="1">
      <formula>A28&lt;&gt;""</formula>
    </cfRule>
  </conditionalFormatting>
  <conditionalFormatting sqref="E30">
    <cfRule type="expression" dxfId="117" priority="186" stopIfTrue="1">
      <formula>E30&lt;&gt;""</formula>
    </cfRule>
    <cfRule type="expression" dxfId="116" priority="188" stopIfTrue="1">
      <formula>A30&lt;&gt;""</formula>
    </cfRule>
  </conditionalFormatting>
  <conditionalFormatting sqref="F30">
    <cfRule type="expression" dxfId="115" priority="185" stopIfTrue="1">
      <formula>F30&lt;&gt;""</formula>
    </cfRule>
    <cfRule type="expression" dxfId="114" priority="187" stopIfTrue="1">
      <formula>A30&lt;&gt;""</formula>
    </cfRule>
  </conditionalFormatting>
  <conditionalFormatting sqref="E32">
    <cfRule type="expression" dxfId="113" priority="182" stopIfTrue="1">
      <formula>E32&lt;&gt;""</formula>
    </cfRule>
    <cfRule type="expression" dxfId="112" priority="184" stopIfTrue="1">
      <formula>A32&lt;&gt;""</formula>
    </cfRule>
  </conditionalFormatting>
  <conditionalFormatting sqref="F32">
    <cfRule type="expression" dxfId="111" priority="181" stopIfTrue="1">
      <formula>F32&lt;&gt;""</formula>
    </cfRule>
    <cfRule type="expression" dxfId="110" priority="183" stopIfTrue="1">
      <formula>A32&lt;&gt;""</formula>
    </cfRule>
  </conditionalFormatting>
  <conditionalFormatting sqref="E34">
    <cfRule type="expression" dxfId="109" priority="178" stopIfTrue="1">
      <formula>E34&lt;&gt;""</formula>
    </cfRule>
    <cfRule type="expression" dxfId="108" priority="180" stopIfTrue="1">
      <formula>A34&lt;&gt;""</formula>
    </cfRule>
  </conditionalFormatting>
  <conditionalFormatting sqref="F34">
    <cfRule type="expression" dxfId="107" priority="177" stopIfTrue="1">
      <formula>F34&lt;&gt;""</formula>
    </cfRule>
    <cfRule type="expression" dxfId="106" priority="179" stopIfTrue="1">
      <formula>A34&lt;&gt;""</formula>
    </cfRule>
  </conditionalFormatting>
  <conditionalFormatting sqref="E36">
    <cfRule type="expression" dxfId="105" priority="174" stopIfTrue="1">
      <formula>E36&lt;&gt;""</formula>
    </cfRule>
    <cfRule type="expression" dxfId="104" priority="176" stopIfTrue="1">
      <formula>A36&lt;&gt;""</formula>
    </cfRule>
  </conditionalFormatting>
  <conditionalFormatting sqref="F36">
    <cfRule type="expression" dxfId="103" priority="173" stopIfTrue="1">
      <formula>F36&lt;&gt;""</formula>
    </cfRule>
    <cfRule type="expression" dxfId="102" priority="175" stopIfTrue="1">
      <formula>A36&lt;&gt;""</formula>
    </cfRule>
  </conditionalFormatting>
  <conditionalFormatting sqref="E39">
    <cfRule type="expression" dxfId="101" priority="166" stopIfTrue="1">
      <formula>E39&lt;&gt;""</formula>
    </cfRule>
    <cfRule type="expression" dxfId="100" priority="168" stopIfTrue="1">
      <formula>A39&lt;&gt;""</formula>
    </cfRule>
  </conditionalFormatting>
  <conditionalFormatting sqref="F39">
    <cfRule type="expression" dxfId="99" priority="165" stopIfTrue="1">
      <formula>F39&lt;&gt;""</formula>
    </cfRule>
    <cfRule type="expression" dxfId="98" priority="167" stopIfTrue="1">
      <formula>A39&lt;&gt;""</formula>
    </cfRule>
  </conditionalFormatting>
  <conditionalFormatting sqref="E41">
    <cfRule type="expression" dxfId="97" priority="162" stopIfTrue="1">
      <formula>E41&lt;&gt;""</formula>
    </cfRule>
    <cfRule type="expression" dxfId="96" priority="164" stopIfTrue="1">
      <formula>A41&lt;&gt;""</formula>
    </cfRule>
  </conditionalFormatting>
  <conditionalFormatting sqref="F41">
    <cfRule type="expression" dxfId="95" priority="161" stopIfTrue="1">
      <formula>F41&lt;&gt;""</formula>
    </cfRule>
    <cfRule type="expression" dxfId="94" priority="163" stopIfTrue="1">
      <formula>A41&lt;&gt;""</formula>
    </cfRule>
  </conditionalFormatting>
  <conditionalFormatting sqref="E51">
    <cfRule type="expression" dxfId="93" priority="150" stopIfTrue="1">
      <formula>E51&lt;&gt;""</formula>
    </cfRule>
    <cfRule type="expression" dxfId="92" priority="152" stopIfTrue="1">
      <formula>A51&lt;&gt;""</formula>
    </cfRule>
  </conditionalFormatting>
  <conditionalFormatting sqref="F51">
    <cfRule type="expression" dxfId="91" priority="149" stopIfTrue="1">
      <formula>F51&lt;&gt;""</formula>
    </cfRule>
    <cfRule type="expression" dxfId="90" priority="151" stopIfTrue="1">
      <formula>A51&lt;&gt;""</formula>
    </cfRule>
  </conditionalFormatting>
  <conditionalFormatting sqref="E53">
    <cfRule type="expression" dxfId="89" priority="146" stopIfTrue="1">
      <formula>E53&lt;&gt;""</formula>
    </cfRule>
    <cfRule type="expression" dxfId="88" priority="148" stopIfTrue="1">
      <formula>A53&lt;&gt;""</formula>
    </cfRule>
  </conditionalFormatting>
  <conditionalFormatting sqref="F53">
    <cfRule type="expression" dxfId="87" priority="145" stopIfTrue="1">
      <formula>F53&lt;&gt;""</formula>
    </cfRule>
    <cfRule type="expression" dxfId="86" priority="147" stopIfTrue="1">
      <formula>A53&lt;&gt;""</formula>
    </cfRule>
  </conditionalFormatting>
  <conditionalFormatting sqref="E55">
    <cfRule type="expression" dxfId="85" priority="142" stopIfTrue="1">
      <formula>E55&lt;&gt;""</formula>
    </cfRule>
    <cfRule type="expression" dxfId="84" priority="144" stopIfTrue="1">
      <formula>A55&lt;&gt;""</formula>
    </cfRule>
  </conditionalFormatting>
  <conditionalFormatting sqref="F55">
    <cfRule type="expression" dxfId="83" priority="141" stopIfTrue="1">
      <formula>F55&lt;&gt;""</formula>
    </cfRule>
    <cfRule type="expression" dxfId="82" priority="143" stopIfTrue="1">
      <formula>A55&lt;&gt;""</formula>
    </cfRule>
  </conditionalFormatting>
  <conditionalFormatting sqref="E58">
    <cfRule type="expression" dxfId="81" priority="117" stopIfTrue="1">
      <formula>E58&lt;&gt;""</formula>
    </cfRule>
    <cfRule type="expression" dxfId="80" priority="118" stopIfTrue="1">
      <formula>A58&lt;&gt;""</formula>
    </cfRule>
  </conditionalFormatting>
  <conditionalFormatting sqref="C58">
    <cfRule type="expression" dxfId="79" priority="115" stopIfTrue="1">
      <formula>C58&lt;&gt;""</formula>
    </cfRule>
    <cfRule type="expression" dxfId="78" priority="116" stopIfTrue="1">
      <formula>A58&lt;&gt;""</formula>
    </cfRule>
  </conditionalFormatting>
  <conditionalFormatting sqref="D58">
    <cfRule type="expression" dxfId="77" priority="113" stopIfTrue="1">
      <formula>D58&lt;&gt;""</formula>
    </cfRule>
    <cfRule type="expression" dxfId="76" priority="114" stopIfTrue="1">
      <formula>A58&lt;&gt;""</formula>
    </cfRule>
  </conditionalFormatting>
  <conditionalFormatting sqref="K58">
    <cfRule type="expression" dxfId="75" priority="111" stopIfTrue="1">
      <formula>K58&lt;&gt;""</formula>
    </cfRule>
    <cfRule type="expression" dxfId="74" priority="112" stopIfTrue="1">
      <formula>A57&lt;&gt;""</formula>
    </cfRule>
  </conditionalFormatting>
  <conditionalFormatting sqref="D64">
    <cfRule type="expression" dxfId="73" priority="109" stopIfTrue="1">
      <formula>D64&lt;&gt;""</formula>
    </cfRule>
    <cfRule type="expression" dxfId="72" priority="110" stopIfTrue="1">
      <formula>A64&lt;&gt;""</formula>
    </cfRule>
  </conditionalFormatting>
  <conditionalFormatting sqref="E64">
    <cfRule type="expression" dxfId="71" priority="107" stopIfTrue="1">
      <formula>E64&lt;&gt;""</formula>
    </cfRule>
    <cfRule type="expression" dxfId="70" priority="108" stopIfTrue="1">
      <formula>A64&lt;&gt;""</formula>
    </cfRule>
  </conditionalFormatting>
  <conditionalFormatting sqref="E65">
    <cfRule type="expression" dxfId="69" priority="105" stopIfTrue="1">
      <formula>E65&lt;&gt;""</formula>
    </cfRule>
    <cfRule type="expression" dxfId="68" priority="106" stopIfTrue="1">
      <formula>A65&lt;&gt;""</formula>
    </cfRule>
  </conditionalFormatting>
  <conditionalFormatting sqref="C65">
    <cfRule type="expression" dxfId="67" priority="103" stopIfTrue="1">
      <formula>C65&lt;&gt;""</formula>
    </cfRule>
    <cfRule type="expression" dxfId="66" priority="104" stopIfTrue="1">
      <formula>A65&lt;&gt;""</formula>
    </cfRule>
  </conditionalFormatting>
  <conditionalFormatting sqref="D65">
    <cfRule type="expression" dxfId="65" priority="101" stopIfTrue="1">
      <formula>D65&lt;&gt;""</formula>
    </cfRule>
    <cfRule type="expression" dxfId="64" priority="102" stopIfTrue="1">
      <formula>A65&lt;&gt;""</formula>
    </cfRule>
  </conditionalFormatting>
  <conditionalFormatting sqref="E67">
    <cfRule type="expression" dxfId="63" priority="99" stopIfTrue="1">
      <formula>E67&lt;&gt;""</formula>
    </cfRule>
    <cfRule type="expression" dxfId="62" priority="100" stopIfTrue="1">
      <formula>A67&lt;&gt;""</formula>
    </cfRule>
  </conditionalFormatting>
  <conditionalFormatting sqref="C67">
    <cfRule type="expression" dxfId="61" priority="97" stopIfTrue="1">
      <formula>C67&lt;&gt;""</formula>
    </cfRule>
    <cfRule type="expression" dxfId="60" priority="98" stopIfTrue="1">
      <formula>A67&lt;&gt;""</formula>
    </cfRule>
  </conditionalFormatting>
  <conditionalFormatting sqref="D67">
    <cfRule type="expression" dxfId="59" priority="95" stopIfTrue="1">
      <formula>D67&lt;&gt;""</formula>
    </cfRule>
    <cfRule type="expression" dxfId="58" priority="96" stopIfTrue="1">
      <formula>A67&lt;&gt;""</formula>
    </cfRule>
  </conditionalFormatting>
  <conditionalFormatting sqref="E59">
    <cfRule type="expression" dxfId="57" priority="93" stopIfTrue="1">
      <formula>E59&lt;&gt;""</formula>
    </cfRule>
    <cfRule type="expression" dxfId="56" priority="94" stopIfTrue="1">
      <formula>A59&lt;&gt;""</formula>
    </cfRule>
  </conditionalFormatting>
  <conditionalFormatting sqref="E43">
    <cfRule type="expression" dxfId="55" priority="59" stopIfTrue="1">
      <formula>E43&lt;&gt;""</formula>
    </cfRule>
    <cfRule type="expression" dxfId="54" priority="61" stopIfTrue="1">
      <formula>A43&lt;&gt;""</formula>
    </cfRule>
  </conditionalFormatting>
  <conditionalFormatting sqref="F43">
    <cfRule type="expression" dxfId="53" priority="58" stopIfTrue="1">
      <formula>F43&lt;&gt;""</formula>
    </cfRule>
    <cfRule type="expression" dxfId="52" priority="60" stopIfTrue="1">
      <formula>A43&lt;&gt;""</formula>
    </cfRule>
  </conditionalFormatting>
  <conditionalFormatting sqref="E18">
    <cfRule type="expression" dxfId="51" priority="40" stopIfTrue="1">
      <formula>E18&lt;&gt;""</formula>
    </cfRule>
    <cfRule type="expression" dxfId="50" priority="42" stopIfTrue="1">
      <formula>A18&lt;&gt;""</formula>
    </cfRule>
  </conditionalFormatting>
  <conditionalFormatting sqref="F18">
    <cfRule type="expression" dxfId="49" priority="39" stopIfTrue="1">
      <formula>F18&lt;&gt;""</formula>
    </cfRule>
    <cfRule type="expression" dxfId="48" priority="41" stopIfTrue="1">
      <formula>A18&lt;&gt;""</formula>
    </cfRule>
  </conditionalFormatting>
  <conditionalFormatting sqref="E16 E21">
    <cfRule type="expression" dxfId="47" priority="36" stopIfTrue="1">
      <formula>E16&lt;&gt;""</formula>
    </cfRule>
    <cfRule type="expression" dxfId="46" priority="38" stopIfTrue="1">
      <formula>A16&lt;&gt;""</formula>
    </cfRule>
  </conditionalFormatting>
  <conditionalFormatting sqref="F16 F21">
    <cfRule type="expression" dxfId="45" priority="35" stopIfTrue="1">
      <formula>F16&lt;&gt;""</formula>
    </cfRule>
    <cfRule type="expression" dxfId="44" priority="37" stopIfTrue="1">
      <formula>A16&lt;&gt;""</formula>
    </cfRule>
  </conditionalFormatting>
  <conditionalFormatting sqref="E14 E19">
    <cfRule type="expression" dxfId="43" priority="32" stopIfTrue="1">
      <formula>E14&lt;&gt;""</formula>
    </cfRule>
    <cfRule type="expression" dxfId="42" priority="34" stopIfTrue="1">
      <formula>A14&lt;&gt;""</formula>
    </cfRule>
  </conditionalFormatting>
  <conditionalFormatting sqref="F14 F19">
    <cfRule type="expression" dxfId="41" priority="31" stopIfTrue="1">
      <formula>F14&lt;&gt;""</formula>
    </cfRule>
    <cfRule type="expression" dxfId="40" priority="33" stopIfTrue="1">
      <formula>A14&lt;&gt;""</formula>
    </cfRule>
  </conditionalFormatting>
  <conditionalFormatting sqref="I18:J18">
    <cfRule type="cellIs" dxfId="39" priority="29" operator="between">
      <formula>0.01</formula>
      <formula>100000</formula>
    </cfRule>
    <cfRule type="containsText" dxfId="38" priority="30" operator="containsText" text="0,00">
      <formula>NOT(ISERROR(SEARCH("0,00",I18)))</formula>
    </cfRule>
  </conditionalFormatting>
  <conditionalFormatting sqref="I15:J15 I20:J20">
    <cfRule type="cellIs" dxfId="37" priority="26" operator="between">
      <formula>0.01</formula>
      <formula>100000</formula>
    </cfRule>
    <cfRule type="containsText" dxfId="36" priority="27" operator="containsText" text="0,00">
      <formula>NOT(ISERROR(SEARCH("0,00",I15)))</formula>
    </cfRule>
  </conditionalFormatting>
  <conditionalFormatting sqref="I17:J17">
    <cfRule type="cellIs" dxfId="35" priority="23" operator="between">
      <formula>0.01</formula>
      <formula>100000</formula>
    </cfRule>
    <cfRule type="containsText" dxfId="34" priority="24" operator="containsText" text="0,00">
      <formula>NOT(ISERROR(SEARCH("0,00",I17)))</formula>
    </cfRule>
  </conditionalFormatting>
  <conditionalFormatting sqref="I14:J14 I19:J19">
    <cfRule type="cellIs" dxfId="33" priority="20" operator="between">
      <formula>0.01</formula>
      <formula>100000</formula>
    </cfRule>
    <cfRule type="containsText" dxfId="32" priority="21" operator="containsText" text="0,00">
      <formula>NOT(ISERROR(SEARCH("0,00",I14)))</formula>
    </cfRule>
  </conditionalFormatting>
  <conditionalFormatting sqref="I16:J16 I21:J21">
    <cfRule type="cellIs" dxfId="31" priority="17" operator="between">
      <formula>0.01</formula>
      <formula>100000</formula>
    </cfRule>
    <cfRule type="containsText" dxfId="30" priority="18" operator="containsText" text="0,00">
      <formula>NOT(ISERROR(SEARCH("0,00",I16)))</formula>
    </cfRule>
  </conditionalFormatting>
  <conditionalFormatting sqref="E15 E20">
    <cfRule type="expression" dxfId="29" priority="13" stopIfTrue="1">
      <formula>E15&lt;&gt;""</formula>
    </cfRule>
    <cfRule type="expression" dxfId="28" priority="15" stopIfTrue="1">
      <formula>A15&lt;&gt;""</formula>
    </cfRule>
  </conditionalFormatting>
  <conditionalFormatting sqref="F15 F20">
    <cfRule type="expression" dxfId="27" priority="12" stopIfTrue="1">
      <formula>F15&lt;&gt;""</formula>
    </cfRule>
    <cfRule type="expression" dxfId="26" priority="14" stopIfTrue="1">
      <formula>A15&lt;&gt;""</formula>
    </cfRule>
  </conditionalFormatting>
  <conditionalFormatting sqref="E17">
    <cfRule type="expression" dxfId="25" priority="9" stopIfTrue="1">
      <formula>E17&lt;&gt;""</formula>
    </cfRule>
    <cfRule type="expression" dxfId="24" priority="11" stopIfTrue="1">
      <formula>A17&lt;&gt;""</formula>
    </cfRule>
  </conditionalFormatting>
  <conditionalFormatting sqref="F17">
    <cfRule type="expression" dxfId="23" priority="8" stopIfTrue="1">
      <formula>F17&lt;&gt;""</formula>
    </cfRule>
    <cfRule type="expression" dxfId="22" priority="10" stopIfTrue="1">
      <formula>A17&lt;&gt;""</formula>
    </cfRule>
  </conditionalFormatting>
  <conditionalFormatting sqref="E13">
    <cfRule type="expression" dxfId="21" priority="5" stopIfTrue="1">
      <formula>E13&lt;&gt;""</formula>
    </cfRule>
    <cfRule type="expression" dxfId="20" priority="7" stopIfTrue="1">
      <formula>A13&lt;&gt;""</formula>
    </cfRule>
  </conditionalFormatting>
  <conditionalFormatting sqref="F13">
    <cfRule type="expression" dxfId="19" priority="4" stopIfTrue="1">
      <formula>F13&lt;&gt;""</formula>
    </cfRule>
    <cfRule type="expression" dxfId="18" priority="6" stopIfTrue="1">
      <formula>A13&lt;&gt;""</formula>
    </cfRule>
  </conditionalFormatting>
  <conditionalFormatting sqref="I13:J13">
    <cfRule type="cellIs" dxfId="17" priority="2" operator="between">
      <formula>0.01</formula>
      <formula>100000</formula>
    </cfRule>
    <cfRule type="containsText" dxfId="16" priority="3" operator="containsText" text="0,00">
      <formula>NOT(ISERROR(SEARCH("0,00",I13)))</formula>
    </cfRule>
  </conditionalFormatting>
  <dataValidations count="3">
    <dataValidation type="list" allowBlank="1" showInputMessage="1" showErrorMessage="1" sqref="G57" xr:uid="{00000000-0002-0000-0000-000000000000}">
      <formula1>INDIRECT("Taux[Type Job]")</formula1>
    </dataValidation>
    <dataValidation type="list" allowBlank="1" showInputMessage="1" showErrorMessage="1" sqref="J68" xr:uid="{00000000-0002-0000-0000-000001000000}">
      <formula1>INDIRECT("BSDQ")</formula1>
    </dataValidation>
    <dataValidation type="list" allowBlank="1" showInputMessage="1" showErrorMessage="1" sqref="B44" xr:uid="{00000000-0002-0000-0000-000002000000}">
      <formula1>INDIRECT("Pliage[Matériaux Pliage]")</formula1>
    </dataValidation>
  </dataValidations>
  <printOptions horizontalCentered="1"/>
  <pageMargins left="0.15748031496062992" right="0.15748031496062992" top="0.23622047244094491" bottom="0.11811023622047245" header="0.51181102362204722" footer="0.51181102362204722"/>
  <pageSetup paperSize="5" scale="90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nameFile">
                <anchor moveWithCells="1" sizeWithCells="1">
                  <from>
                    <xdr:col>10</xdr:col>
                    <xdr:colOff>762000</xdr:colOff>
                    <xdr:row>0</xdr:row>
                    <xdr:rowOff>9525</xdr:rowOff>
                  </from>
                  <to>
                    <xdr:col>11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45" operator="containsText" id="{5C213954-D66D-4DF9-9F3C-A3DB2549322D}">
            <xm:f>NOT(ISERROR(SEARCH("-",I8)))</xm:f>
            <xm:f>"-"</xm:f>
            <x14:dxf>
              <font>
                <color theme="4"/>
              </font>
            </x14:dxf>
          </x14:cfRule>
          <xm:sqref>I8:J8</xm:sqref>
        </x14:conditionalFormatting>
        <x14:conditionalFormatting xmlns:xm="http://schemas.microsoft.com/office/excel/2006/main">
          <x14:cfRule type="containsText" priority="342" operator="containsText" id="{1DD6790D-CD61-4758-B5C3-3CA0849A35FD}">
            <xm:f>NOT(ISERROR(SEARCH("-",I10)))</xm:f>
            <xm:f>"-"</xm:f>
            <x14:dxf>
              <font>
                <color theme="4"/>
              </font>
            </x14:dxf>
          </x14:cfRule>
          <xm:sqref>I10:J10</xm:sqref>
        </x14:conditionalFormatting>
        <x14:conditionalFormatting xmlns:xm="http://schemas.microsoft.com/office/excel/2006/main">
          <x14:cfRule type="containsText" priority="339" operator="containsText" id="{F62BD102-9F8B-41DA-AD8A-2D57CB55AED1}">
            <xm:f>NOT(ISERROR(SEARCH("-",I12)))</xm:f>
            <xm:f>"-"</xm:f>
            <x14:dxf>
              <font>
                <color theme="4"/>
              </font>
            </x14:dxf>
          </x14:cfRule>
          <xm:sqref>I12:J12</xm:sqref>
        </x14:conditionalFormatting>
        <x14:conditionalFormatting xmlns:xm="http://schemas.microsoft.com/office/excel/2006/main">
          <x14:cfRule type="containsText" priority="330" operator="containsText" id="{25938022-6D4F-4481-B4A9-94A546A32DF4}">
            <xm:f>NOT(ISERROR(SEARCH("-",I9)))</xm:f>
            <xm:f>"-"</xm:f>
            <x14:dxf>
              <font>
                <color theme="4"/>
              </font>
            </x14:dxf>
          </x14:cfRule>
          <xm:sqref>I9:J9</xm:sqref>
        </x14:conditionalFormatting>
        <x14:conditionalFormatting xmlns:xm="http://schemas.microsoft.com/office/excel/2006/main">
          <x14:cfRule type="containsText" priority="327" operator="containsText" id="{05EEFC7F-42C7-44ED-956A-6D15EC22DC0C}">
            <xm:f>NOT(ISERROR(SEARCH("-",I11)))</xm:f>
            <xm:f>"-"</xm:f>
            <x14:dxf>
              <font>
                <color theme="4"/>
              </font>
            </x14:dxf>
          </x14:cfRule>
          <xm:sqref>I11:J11</xm:sqref>
        </x14:conditionalFormatting>
        <x14:conditionalFormatting xmlns:xm="http://schemas.microsoft.com/office/excel/2006/main">
          <x14:cfRule type="containsText" priority="28" operator="containsText" id="{EF139644-1A92-4AEC-9C02-CC2BF803FCA9}">
            <xm:f>NOT(ISERROR(SEARCH("-",I18)))</xm:f>
            <xm:f>"-"</xm:f>
            <x14:dxf>
              <font>
                <color theme="4"/>
              </font>
            </x14:dxf>
          </x14:cfRule>
          <xm:sqref>I18:J18</xm:sqref>
        </x14:conditionalFormatting>
        <x14:conditionalFormatting xmlns:xm="http://schemas.microsoft.com/office/excel/2006/main">
          <x14:cfRule type="containsText" priority="25" operator="containsText" id="{1E887827-D2D3-4143-B30C-41E5DAB87B3E}">
            <xm:f>NOT(ISERROR(SEARCH("-",I15)))</xm:f>
            <xm:f>"-"</xm:f>
            <x14:dxf>
              <font>
                <color theme="4"/>
              </font>
            </x14:dxf>
          </x14:cfRule>
          <xm:sqref>I15:J15 I20:J20</xm:sqref>
        </x14:conditionalFormatting>
        <x14:conditionalFormatting xmlns:xm="http://schemas.microsoft.com/office/excel/2006/main">
          <x14:cfRule type="containsText" priority="22" operator="containsText" id="{8485E66D-DAF9-4AE4-8DF1-D4CBF4B0540A}">
            <xm:f>NOT(ISERROR(SEARCH("-",I17)))</xm:f>
            <xm:f>"-"</xm:f>
            <x14:dxf>
              <font>
                <color theme="4"/>
              </font>
            </x14:dxf>
          </x14:cfRule>
          <xm:sqref>I17:J17</xm:sqref>
        </x14:conditionalFormatting>
        <x14:conditionalFormatting xmlns:xm="http://schemas.microsoft.com/office/excel/2006/main">
          <x14:cfRule type="containsText" priority="19" operator="containsText" id="{D1C1DE95-5364-4269-A077-C3B77730969D}">
            <xm:f>NOT(ISERROR(SEARCH("-",I14)))</xm:f>
            <xm:f>"-"</xm:f>
            <x14:dxf>
              <font>
                <color theme="4"/>
              </font>
            </x14:dxf>
          </x14:cfRule>
          <xm:sqref>I14:J14 I19:J19</xm:sqref>
        </x14:conditionalFormatting>
        <x14:conditionalFormatting xmlns:xm="http://schemas.microsoft.com/office/excel/2006/main">
          <x14:cfRule type="containsText" priority="16" operator="containsText" id="{239A64B2-7913-421C-8F85-E6152231FD25}">
            <xm:f>NOT(ISERROR(SEARCH("-",I16)))</xm:f>
            <xm:f>"-"</xm:f>
            <x14:dxf>
              <font>
                <color theme="4"/>
              </font>
            </x14:dxf>
          </x14:cfRule>
          <xm:sqref>I16:J16 I21:J21</xm:sqref>
        </x14:conditionalFormatting>
        <x14:conditionalFormatting xmlns:xm="http://schemas.microsoft.com/office/excel/2006/main">
          <x14:cfRule type="containsText" priority="1" operator="containsText" id="{43FF3B94-4D55-4816-A729-3F918F6C021F}">
            <xm:f>NOT(ISERROR(SEARCH("-",I13)))</xm:f>
            <xm:f>"-"</xm:f>
            <x14:dxf>
              <font>
                <color theme="4"/>
              </font>
            </x14:dxf>
          </x14:cfRule>
          <xm:sqref>I13:J13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23652B6-930C-D94A-A2B3-6AD496B68858}">
          <x14:formula1>
            <xm:f>Utilitaires!$A$3:$A$8</xm:f>
          </x14:formula1>
          <xm:sqref>H1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B1:J58"/>
  <sheetViews>
    <sheetView showWhiteSpace="0" view="pageLayout" zoomScaleNormal="100" workbookViewId="0">
      <selection activeCell="H13" sqref="H13"/>
    </sheetView>
  </sheetViews>
  <sheetFormatPr baseColWidth="10" defaultRowHeight="12.75" x14ac:dyDescent="0.2"/>
  <cols>
    <col min="1" max="1" width="7.85546875" customWidth="1"/>
    <col min="2" max="2" width="11.28515625" hidden="1" customWidth="1"/>
    <col min="3" max="3" width="11.140625" customWidth="1"/>
    <col min="4" max="4" width="14.140625" customWidth="1"/>
    <col min="6" max="6" width="18" customWidth="1"/>
    <col min="7" max="7" width="12.7109375" customWidth="1"/>
    <col min="8" max="8" width="12.42578125" customWidth="1"/>
    <col min="9" max="9" width="7" customWidth="1"/>
    <col min="10" max="10" width="13.28515625" customWidth="1"/>
    <col min="11" max="11" width="9.85546875" customWidth="1"/>
  </cols>
  <sheetData>
    <row r="1" spans="2:10" ht="16.5" customHeight="1" x14ac:dyDescent="0.2"/>
    <row r="2" spans="2:10" ht="21" customHeight="1" x14ac:dyDescent="0.2"/>
    <row r="3" spans="2:10" ht="11.25" customHeight="1" x14ac:dyDescent="0.2">
      <c r="H3" s="176" t="str">
        <f ca="1">(LEFT(MID(CELL("nomfichier",A1),FIND("[",CELL("nomfichier",A1))+1,999),FIND("]",MID(CELL("nomfichier",A1),FIND("[",CELL("nomfichier",A1))+2,999))-5))</f>
        <v>23-567 - Toiture invités (nouvelle feuille)</v>
      </c>
      <c r="I3" s="176"/>
      <c r="J3" s="177" t="s">
        <v>182</v>
      </c>
    </row>
    <row r="4" spans="2:10" ht="11.25" customHeight="1" x14ac:dyDescent="0.2">
      <c r="H4" s="176"/>
      <c r="I4" s="176"/>
      <c r="J4" s="177"/>
    </row>
    <row r="5" spans="2:10" ht="11.25" customHeight="1" x14ac:dyDescent="0.2">
      <c r="C5" s="9"/>
      <c r="D5" s="9"/>
      <c r="F5" s="9"/>
      <c r="G5" s="9"/>
      <c r="H5" s="176"/>
      <c r="I5" s="176"/>
      <c r="J5" s="177"/>
    </row>
    <row r="6" spans="2:10" ht="11.25" customHeight="1" x14ac:dyDescent="0.2">
      <c r="C6" s="9"/>
      <c r="D6" s="9"/>
      <c r="F6" s="9"/>
      <c r="G6" s="9"/>
      <c r="H6" s="178" t="str">
        <f ca="1">"Sherbrooke le, "&amp;TEXT(TODAY(),"JJ")&amp;" "&amp;TEXT(TODAY(),"mmmmmmmm")&amp;" "&amp;TEXT(TODAY(),"AAAA")</f>
        <v>Sherbrooke le, 21 décembre 2023</v>
      </c>
      <c r="I6" s="178"/>
      <c r="J6" s="178"/>
    </row>
    <row r="7" spans="2:10" ht="11.25" customHeight="1" x14ac:dyDescent="0.2">
      <c r="C7" s="21" t="s">
        <v>33</v>
      </c>
      <c r="D7" s="9"/>
      <c r="F7" s="9"/>
      <c r="G7" s="9"/>
      <c r="H7" s="178"/>
      <c r="I7" s="178"/>
      <c r="J7" s="178"/>
    </row>
    <row r="8" spans="2:10" ht="12.75" customHeight="1" x14ac:dyDescent="0.2">
      <c r="C8" s="22" t="s">
        <v>175</v>
      </c>
      <c r="D8" s="9"/>
      <c r="E8" s="9"/>
      <c r="F8" s="9"/>
      <c r="G8" s="23"/>
      <c r="H8" s="174"/>
      <c r="I8" s="175"/>
      <c r="J8" s="175"/>
    </row>
    <row r="9" spans="2:10" ht="12.75" customHeight="1" x14ac:dyDescent="0.2">
      <c r="C9" s="22" t="s">
        <v>35</v>
      </c>
      <c r="E9" s="22"/>
      <c r="F9" s="9"/>
      <c r="G9" s="23"/>
      <c r="H9" s="109"/>
      <c r="I9" s="25"/>
      <c r="J9" s="25"/>
    </row>
    <row r="10" spans="2:10" ht="12.75" customHeight="1" x14ac:dyDescent="0.2">
      <c r="C10" s="26" t="s">
        <v>29</v>
      </c>
      <c r="D10" s="22"/>
      <c r="E10" s="9"/>
      <c r="F10" s="9"/>
      <c r="G10" s="23"/>
      <c r="H10" s="24"/>
      <c r="I10" s="25"/>
      <c r="J10" s="25"/>
    </row>
    <row r="11" spans="2:10" ht="9.75" customHeight="1" x14ac:dyDescent="0.2">
      <c r="B11" s="26"/>
      <c r="C11" s="9"/>
      <c r="D11" s="22"/>
      <c r="E11" s="9"/>
      <c r="F11" s="9"/>
      <c r="G11" s="23"/>
      <c r="H11" s="24"/>
      <c r="I11" s="25"/>
      <c r="J11" s="25"/>
    </row>
    <row r="12" spans="2:10" ht="15" customHeight="1" x14ac:dyDescent="0.2">
      <c r="F12" s="9"/>
      <c r="G12" s="9"/>
      <c r="H12" s="9"/>
      <c r="I12" s="9"/>
      <c r="J12" s="9"/>
    </row>
    <row r="13" spans="2:10" ht="16.5" customHeight="1" x14ac:dyDescent="0.2">
      <c r="B13" s="2" t="s">
        <v>27</v>
      </c>
      <c r="C13" s="172" t="s">
        <v>173</v>
      </c>
      <c r="D13" s="172"/>
      <c r="E13" s="172"/>
      <c r="F13" s="9"/>
      <c r="G13" s="9"/>
      <c r="H13" s="9"/>
      <c r="I13" s="9"/>
      <c r="J13" s="9"/>
    </row>
    <row r="14" spans="2:10" ht="17.25" hidden="1" customHeight="1" x14ac:dyDescent="0.25">
      <c r="B14" t="s">
        <v>49</v>
      </c>
      <c r="C14" s="18"/>
      <c r="F14" s="9"/>
      <c r="G14" s="9"/>
      <c r="H14" s="9"/>
      <c r="I14" s="9"/>
      <c r="J14" s="9"/>
    </row>
    <row r="15" spans="2:10" ht="17.100000000000001" customHeight="1" x14ac:dyDescent="0.2">
      <c r="B15" s="1" t="s">
        <v>25</v>
      </c>
      <c r="C15" s="10" t="s">
        <v>168</v>
      </c>
      <c r="D15" s="10"/>
      <c r="E15" s="9"/>
      <c r="F15" s="9"/>
      <c r="G15" s="9"/>
      <c r="H15" s="9"/>
      <c r="I15" s="9"/>
      <c r="J15" s="9"/>
    </row>
    <row r="16" spans="2:10" ht="17.100000000000001" customHeight="1" x14ac:dyDescent="0.2">
      <c r="B16" s="1" t="s">
        <v>32</v>
      </c>
      <c r="C16" s="10" t="s">
        <v>169</v>
      </c>
      <c r="D16" s="10"/>
      <c r="E16" s="9"/>
      <c r="G16" s="9"/>
      <c r="H16" s="9"/>
      <c r="I16" s="9"/>
      <c r="J16" s="9"/>
    </row>
    <row r="17" spans="2:10" ht="17.100000000000001" customHeight="1" x14ac:dyDescent="0.2">
      <c r="B17" s="1" t="s">
        <v>16</v>
      </c>
      <c r="C17" s="10" t="s">
        <v>164</v>
      </c>
      <c r="D17" s="10"/>
      <c r="E17" s="9"/>
      <c r="F17" s="9"/>
      <c r="G17" s="9"/>
      <c r="H17" s="9"/>
      <c r="I17" s="9"/>
      <c r="J17" s="9"/>
    </row>
    <row r="18" spans="2:10" ht="12.75" hidden="1" customHeight="1" x14ac:dyDescent="0.2">
      <c r="B18" s="1" t="s">
        <v>50</v>
      </c>
      <c r="C18" s="9"/>
      <c r="D18" s="10"/>
      <c r="E18" s="9"/>
      <c r="F18" s="9"/>
      <c r="G18" s="9"/>
      <c r="H18" s="9"/>
      <c r="I18" s="9"/>
      <c r="J18" s="9"/>
    </row>
    <row r="19" spans="2:10" ht="6" customHeight="1" thickBot="1" x14ac:dyDescent="0.25">
      <c r="C19" s="20"/>
      <c r="D19" s="20"/>
      <c r="E19" s="20"/>
      <c r="F19" s="20"/>
      <c r="G19" s="20"/>
      <c r="H19" s="20"/>
      <c r="I19" s="20"/>
      <c r="J19" s="20"/>
    </row>
    <row r="20" spans="2:10" ht="5.25" customHeight="1" x14ac:dyDescent="0.2">
      <c r="C20" s="9"/>
      <c r="D20" s="9"/>
      <c r="E20" s="9"/>
      <c r="F20" s="9"/>
      <c r="G20" s="9"/>
      <c r="H20" s="9"/>
      <c r="I20" s="9"/>
      <c r="J20" s="9"/>
    </row>
    <row r="21" spans="2:10" ht="18" x14ac:dyDescent="0.25">
      <c r="B21" s="1" t="s">
        <v>15</v>
      </c>
      <c r="C21" s="6" t="s">
        <v>15</v>
      </c>
      <c r="D21" s="6" t="s">
        <v>172</v>
      </c>
      <c r="F21" s="9"/>
      <c r="G21" s="9"/>
      <c r="H21" s="9"/>
      <c r="I21" s="9"/>
      <c r="J21" s="9"/>
    </row>
    <row r="22" spans="2:10" ht="15" x14ac:dyDescent="0.2">
      <c r="B22" s="1" t="s">
        <v>17</v>
      </c>
      <c r="C22" s="9" t="s">
        <v>58</v>
      </c>
      <c r="D22" s="9" t="s">
        <v>171</v>
      </c>
      <c r="E22" s="9"/>
      <c r="F22" s="9"/>
      <c r="G22" s="9"/>
      <c r="H22" s="9"/>
      <c r="I22" s="9"/>
      <c r="J22" s="9"/>
    </row>
    <row r="23" spans="2:10" ht="15" x14ac:dyDescent="0.2">
      <c r="B23" s="1" t="s">
        <v>18</v>
      </c>
      <c r="C23" s="16" t="s">
        <v>59</v>
      </c>
      <c r="D23" s="16"/>
      <c r="E23" s="9"/>
      <c r="F23" s="9"/>
      <c r="G23" s="9"/>
      <c r="H23" s="9"/>
      <c r="I23" s="9"/>
      <c r="J23" s="9"/>
    </row>
    <row r="24" spans="2:10" ht="15" x14ac:dyDescent="0.2">
      <c r="C24" s="9"/>
      <c r="D24" s="9"/>
      <c r="E24" s="9"/>
      <c r="F24" s="9"/>
      <c r="G24" s="9"/>
      <c r="H24" s="9"/>
      <c r="I24" s="9"/>
      <c r="J24" s="9"/>
    </row>
    <row r="25" spans="2:10" ht="15" x14ac:dyDescent="0.2">
      <c r="C25" s="9" t="s">
        <v>19</v>
      </c>
      <c r="D25" s="9"/>
      <c r="E25" s="9"/>
      <c r="F25" s="9"/>
      <c r="G25" s="9"/>
      <c r="H25" s="9"/>
      <c r="I25" s="9"/>
      <c r="J25" s="9"/>
    </row>
    <row r="26" spans="2:10" ht="15" x14ac:dyDescent="0.2">
      <c r="C26" s="9" t="s">
        <v>181</v>
      </c>
      <c r="D26" s="9"/>
      <c r="E26" s="9"/>
      <c r="F26" s="9"/>
      <c r="G26" s="9"/>
      <c r="H26" s="9"/>
      <c r="I26" s="9"/>
      <c r="J26" s="9"/>
    </row>
    <row r="27" spans="2:10" ht="15" x14ac:dyDescent="0.2">
      <c r="C27" s="9"/>
      <c r="D27" s="9"/>
      <c r="E27" s="9"/>
      <c r="F27" s="9"/>
      <c r="G27" s="9"/>
      <c r="H27" s="9"/>
      <c r="I27" s="9"/>
      <c r="J27" s="9"/>
    </row>
    <row r="28" spans="2:10" ht="15.2" customHeight="1" x14ac:dyDescent="0.2">
      <c r="C28" s="104" t="s">
        <v>30</v>
      </c>
      <c r="D28" s="173"/>
      <c r="E28" s="173"/>
      <c r="F28" s="173"/>
      <c r="G28" s="173"/>
      <c r="H28" s="173"/>
      <c r="I28" s="173"/>
      <c r="J28" s="17"/>
    </row>
    <row r="29" spans="2:10" ht="15.2" customHeight="1" x14ac:dyDescent="0.2">
      <c r="C29" s="104" t="s">
        <v>30</v>
      </c>
      <c r="D29" s="173"/>
      <c r="E29" s="173"/>
      <c r="F29" s="173"/>
      <c r="G29" s="173"/>
      <c r="H29" s="173"/>
      <c r="I29" s="173"/>
      <c r="J29" s="17"/>
    </row>
    <row r="30" spans="2:10" ht="15.2" customHeight="1" x14ac:dyDescent="0.2">
      <c r="C30" s="104" t="s">
        <v>30</v>
      </c>
      <c r="D30" s="173"/>
      <c r="E30" s="173"/>
      <c r="F30" s="173"/>
      <c r="G30" s="173"/>
      <c r="H30" s="173"/>
      <c r="I30" s="173"/>
      <c r="J30" s="17"/>
    </row>
    <row r="31" spans="2:10" ht="15.2" customHeight="1" x14ac:dyDescent="0.2">
      <c r="C31" s="104" t="s">
        <v>30</v>
      </c>
      <c r="D31" s="173"/>
      <c r="E31" s="173"/>
      <c r="F31" s="173"/>
      <c r="G31" s="173"/>
      <c r="H31" s="173"/>
      <c r="I31" s="173"/>
      <c r="J31" s="17"/>
    </row>
    <row r="32" spans="2:10" ht="15.2" customHeight="1" x14ac:dyDescent="0.2">
      <c r="C32" s="104" t="s">
        <v>30</v>
      </c>
      <c r="D32" s="173"/>
      <c r="E32" s="173"/>
      <c r="F32" s="173"/>
      <c r="G32" s="173"/>
      <c r="H32" s="173"/>
      <c r="I32" s="173"/>
      <c r="J32" s="17"/>
    </row>
    <row r="33" spans="3:10" ht="15.2" customHeight="1" x14ac:dyDescent="0.2">
      <c r="C33" s="104" t="s">
        <v>30</v>
      </c>
      <c r="D33" s="173"/>
      <c r="E33" s="173"/>
      <c r="F33" s="173"/>
      <c r="G33" s="173"/>
      <c r="H33" s="173"/>
      <c r="I33" s="173"/>
      <c r="J33" s="17"/>
    </row>
    <row r="34" spans="3:10" ht="15.2" customHeight="1" x14ac:dyDescent="0.2">
      <c r="C34" s="104" t="s">
        <v>30</v>
      </c>
      <c r="D34" s="173"/>
      <c r="E34" s="173"/>
      <c r="F34" s="173"/>
      <c r="G34" s="173"/>
      <c r="H34" s="173"/>
      <c r="I34" s="173"/>
      <c r="J34" s="17"/>
    </row>
    <row r="35" spans="3:10" ht="15" x14ac:dyDescent="0.2">
      <c r="C35" s="9"/>
      <c r="D35" s="9"/>
      <c r="E35" s="9"/>
      <c r="F35" s="9"/>
      <c r="G35" s="9"/>
      <c r="H35" s="9"/>
      <c r="I35" s="9"/>
      <c r="J35" s="9"/>
    </row>
    <row r="36" spans="3:10" ht="15" x14ac:dyDescent="0.2">
      <c r="C36" s="11" t="s">
        <v>20</v>
      </c>
      <c r="D36" s="11"/>
      <c r="E36" s="9"/>
      <c r="F36" s="9"/>
      <c r="G36" s="9"/>
      <c r="H36" s="9"/>
      <c r="I36" s="9"/>
      <c r="J36" s="9"/>
    </row>
    <row r="37" spans="3:10" ht="15" x14ac:dyDescent="0.2">
      <c r="C37" s="9"/>
      <c r="D37" s="9"/>
      <c r="E37" s="9"/>
      <c r="F37" s="9"/>
      <c r="G37" s="9"/>
      <c r="H37" s="9"/>
      <c r="I37" s="9"/>
      <c r="J37" s="9"/>
    </row>
    <row r="38" spans="3:10" ht="15.75" x14ac:dyDescent="0.2">
      <c r="C38" s="14" t="s">
        <v>30</v>
      </c>
      <c r="D38" s="9"/>
      <c r="F38" s="9"/>
      <c r="G38" s="9"/>
      <c r="H38" s="9"/>
      <c r="I38" s="9"/>
      <c r="J38" s="9"/>
    </row>
    <row r="39" spans="3:10" ht="15.75" x14ac:dyDescent="0.2">
      <c r="C39" s="14" t="s">
        <v>30</v>
      </c>
      <c r="D39" s="9"/>
      <c r="F39" s="9"/>
      <c r="G39" s="9"/>
      <c r="H39" s="9"/>
      <c r="I39" s="9"/>
      <c r="J39" s="9"/>
    </row>
    <row r="40" spans="3:10" ht="15.75" x14ac:dyDescent="0.2">
      <c r="C40" s="14" t="s">
        <v>30</v>
      </c>
      <c r="D40" s="9"/>
      <c r="F40" s="9"/>
      <c r="G40" s="9"/>
      <c r="H40" s="9"/>
      <c r="I40" s="9"/>
      <c r="J40" s="9"/>
    </row>
    <row r="41" spans="3:10" ht="15" x14ac:dyDescent="0.2">
      <c r="C41" s="9"/>
      <c r="D41" s="9"/>
      <c r="E41" s="9"/>
      <c r="F41" s="9"/>
      <c r="G41" s="9"/>
      <c r="H41" s="9"/>
      <c r="I41" s="9"/>
      <c r="J41" s="9"/>
    </row>
    <row r="42" spans="3:10" ht="15" x14ac:dyDescent="0.2">
      <c r="C42" s="9" t="s">
        <v>21</v>
      </c>
      <c r="D42" s="9"/>
      <c r="E42" s="9"/>
      <c r="F42" s="9"/>
      <c r="G42" s="9"/>
      <c r="H42" s="9"/>
      <c r="I42" s="9"/>
      <c r="J42" s="9"/>
    </row>
    <row r="43" spans="3:10" ht="15" x14ac:dyDescent="0.2">
      <c r="C43" s="9"/>
      <c r="D43" s="9"/>
      <c r="E43" s="9"/>
      <c r="F43" s="9"/>
      <c r="G43" s="9"/>
      <c r="H43" s="9"/>
      <c r="I43" s="9"/>
      <c r="J43" s="9"/>
    </row>
    <row r="44" spans="3:10" ht="16.5" customHeight="1" x14ac:dyDescent="0.2">
      <c r="C44" s="9"/>
      <c r="D44" s="15" t="str">
        <f>ChiffreLettre(F45)</f>
        <v xml:space="preserve">vingt cinq mille huit cent cinquante et un dollars </v>
      </c>
      <c r="F44" s="12"/>
      <c r="G44" s="12"/>
      <c r="H44" s="12"/>
      <c r="I44" s="12"/>
      <c r="J44" s="12"/>
    </row>
    <row r="45" spans="3:10" ht="15" x14ac:dyDescent="0.2">
      <c r="C45" s="9"/>
      <c r="D45" s="9"/>
      <c r="E45" s="9"/>
      <c r="F45" s="13">
        <f>ROUNDUP(('Feuille Calcul'!K69),0.1)</f>
        <v>25851</v>
      </c>
      <c r="G45" s="9" t="s">
        <v>184</v>
      </c>
      <c r="H45" s="9"/>
      <c r="I45" s="9"/>
      <c r="J45" s="9"/>
    </row>
    <row r="46" spans="3:10" ht="15" x14ac:dyDescent="0.2">
      <c r="C46" s="9"/>
      <c r="D46" s="9"/>
      <c r="E46" s="9"/>
      <c r="F46" s="9"/>
      <c r="G46" s="9"/>
      <c r="H46" s="9"/>
      <c r="I46" s="9"/>
      <c r="J46" s="9"/>
    </row>
    <row r="47" spans="3:10" ht="15" customHeight="1" x14ac:dyDescent="0.2">
      <c r="C47" s="10" t="s">
        <v>31</v>
      </c>
      <c r="D47" s="10"/>
      <c r="E47" s="9"/>
      <c r="F47" s="9"/>
      <c r="G47" s="9"/>
      <c r="H47" s="9"/>
      <c r="I47" s="9"/>
      <c r="J47" s="9"/>
    </row>
    <row r="48" spans="3:10" ht="15" x14ac:dyDescent="0.2">
      <c r="C48" s="9" t="s">
        <v>183</v>
      </c>
      <c r="D48" s="9"/>
      <c r="E48" s="9"/>
      <c r="F48" s="9"/>
      <c r="G48" s="9"/>
      <c r="H48" s="9"/>
      <c r="I48" s="9"/>
      <c r="J48" s="9"/>
    </row>
    <row r="49" spans="3:10" ht="15" x14ac:dyDescent="0.2">
      <c r="C49" s="9"/>
      <c r="D49" s="9"/>
      <c r="E49" s="9"/>
      <c r="F49" s="9"/>
      <c r="G49" s="9"/>
      <c r="H49" s="9"/>
      <c r="I49" s="9"/>
      <c r="J49" s="9"/>
    </row>
    <row r="50" spans="3:10" ht="15" x14ac:dyDescent="0.2">
      <c r="C50" s="9"/>
      <c r="D50" s="9"/>
      <c r="E50" s="9"/>
      <c r="F50" s="9"/>
      <c r="G50" s="9"/>
      <c r="H50" s="178" t="s">
        <v>180</v>
      </c>
      <c r="I50" s="178"/>
      <c r="J50" s="178"/>
    </row>
    <row r="51" spans="3:10" ht="15" x14ac:dyDescent="0.2">
      <c r="E51" s="9"/>
      <c r="F51" s="9"/>
      <c r="G51" s="9"/>
      <c r="H51" s="9"/>
      <c r="I51" s="9"/>
      <c r="J51" s="9"/>
    </row>
    <row r="52" spans="3:10" ht="16.5" customHeight="1" x14ac:dyDescent="0.2">
      <c r="C52" s="9" t="s">
        <v>170</v>
      </c>
      <c r="D52" s="9"/>
      <c r="E52" s="9"/>
      <c r="F52" s="9"/>
      <c r="G52" s="9"/>
      <c r="H52" s="19"/>
      <c r="I52" s="19"/>
      <c r="J52" s="19"/>
    </row>
    <row r="53" spans="3:10" ht="15" x14ac:dyDescent="0.2">
      <c r="C53" s="9" t="s">
        <v>176</v>
      </c>
      <c r="D53" s="9"/>
      <c r="E53" s="9"/>
      <c r="F53" s="9"/>
      <c r="G53" s="9"/>
      <c r="H53" s="171" t="s">
        <v>34</v>
      </c>
      <c r="I53" s="171"/>
      <c r="J53" s="171"/>
    </row>
    <row r="54" spans="3:10" ht="15" x14ac:dyDescent="0.2">
      <c r="C54" s="9"/>
      <c r="D54" s="9"/>
      <c r="E54" s="9"/>
      <c r="F54" s="9"/>
      <c r="G54" s="9"/>
      <c r="H54" s="9"/>
      <c r="I54" s="9"/>
      <c r="J54" s="9"/>
    </row>
    <row r="55" spans="3:10" ht="15" x14ac:dyDescent="0.2">
      <c r="C55" s="9"/>
      <c r="D55" s="9"/>
      <c r="E55" s="9"/>
      <c r="F55" s="9"/>
      <c r="G55" s="9"/>
      <c r="H55" s="9"/>
      <c r="I55" s="9"/>
      <c r="J55" s="9"/>
    </row>
    <row r="56" spans="3:10" ht="15" x14ac:dyDescent="0.2">
      <c r="C56" s="9"/>
      <c r="D56" s="9"/>
      <c r="E56" s="9"/>
      <c r="F56" s="9"/>
      <c r="G56" s="9"/>
      <c r="H56" s="9"/>
      <c r="I56" s="9"/>
      <c r="J56" s="9"/>
    </row>
    <row r="57" spans="3:10" ht="15" x14ac:dyDescent="0.2">
      <c r="C57" s="9"/>
      <c r="D57" s="9"/>
      <c r="E57" s="9"/>
      <c r="F57" s="9"/>
      <c r="G57" s="9"/>
      <c r="H57" s="9"/>
      <c r="I57" s="9"/>
      <c r="J57" s="9"/>
    </row>
    <row r="58" spans="3:10" ht="15" x14ac:dyDescent="0.2">
      <c r="C58" s="9"/>
      <c r="D58" s="9"/>
      <c r="E58" s="9"/>
      <c r="F58" s="9"/>
      <c r="G58" s="9"/>
      <c r="H58" s="9"/>
      <c r="I58" s="9"/>
      <c r="J58" s="9"/>
    </row>
  </sheetData>
  <dataConsolidate/>
  <mergeCells count="14">
    <mergeCell ref="H3:I5"/>
    <mergeCell ref="J3:J5"/>
    <mergeCell ref="H6:J7"/>
    <mergeCell ref="H50:J50"/>
    <mergeCell ref="D30:I30"/>
    <mergeCell ref="D31:I31"/>
    <mergeCell ref="D32:I32"/>
    <mergeCell ref="D33:I33"/>
    <mergeCell ref="D34:I34"/>
    <mergeCell ref="H53:J53"/>
    <mergeCell ref="C13:E13"/>
    <mergeCell ref="D28:I28"/>
    <mergeCell ref="D29:I29"/>
    <mergeCell ref="H8:J8"/>
  </mergeCells>
  <conditionalFormatting sqref="C13:E13">
    <cfRule type="containsText" dxfId="4" priority="1" operator="containsText" text="Client">
      <formula>NOT(ISERROR(SEARCH("Client",C13)))</formula>
    </cfRule>
  </conditionalFormatting>
  <hyperlinks>
    <hyperlink ref="C10" r:id="rId1" xr:uid="{00000000-0004-0000-0100-000000000000}"/>
  </hyperlinks>
  <pageMargins left="0.3125" right="0.25" top="0.25" bottom="0.23177083333333334" header="0.3" footer="0.3"/>
  <pageSetup scale="95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F7"/>
  <sheetViews>
    <sheetView workbookViewId="0">
      <selection activeCell="D30" sqref="D30"/>
    </sheetView>
  </sheetViews>
  <sheetFormatPr baseColWidth="10" defaultRowHeight="12.75" x14ac:dyDescent="0.2"/>
  <cols>
    <col min="5" max="5" width="17.140625" customWidth="1"/>
    <col min="6" max="6" width="11.7109375" customWidth="1"/>
  </cols>
  <sheetData>
    <row r="1" spans="1:6" x14ac:dyDescent="0.2">
      <c r="A1" t="s">
        <v>22</v>
      </c>
      <c r="B1" t="s">
        <v>39</v>
      </c>
      <c r="C1" t="s">
        <v>7</v>
      </c>
      <c r="F1" s="96"/>
    </row>
    <row r="2" spans="1:6" ht="15.75" x14ac:dyDescent="0.2">
      <c r="A2" t="s">
        <v>24</v>
      </c>
      <c r="B2" s="1" t="s">
        <v>51</v>
      </c>
      <c r="C2" s="110">
        <v>72</v>
      </c>
      <c r="F2" s="114"/>
    </row>
    <row r="3" spans="1:6" ht="15.75" x14ac:dyDescent="0.2">
      <c r="A3" t="s">
        <v>23</v>
      </c>
      <c r="B3" s="1" t="s">
        <v>36</v>
      </c>
      <c r="C3" s="110">
        <v>69.5</v>
      </c>
      <c r="F3" s="114"/>
    </row>
    <row r="4" spans="1:6" ht="15.75" x14ac:dyDescent="0.2">
      <c r="B4" s="1" t="s">
        <v>40</v>
      </c>
      <c r="C4" s="110">
        <v>69.5</v>
      </c>
      <c r="F4" s="114"/>
    </row>
    <row r="5" spans="1:6" ht="15.75" x14ac:dyDescent="0.2">
      <c r="B5" s="1" t="s">
        <v>41</v>
      </c>
      <c r="C5" s="110">
        <v>73.5</v>
      </c>
      <c r="F5" s="115"/>
    </row>
    <row r="6" spans="1:6" ht="15.75" x14ac:dyDescent="0.2">
      <c r="B6" s="1" t="s">
        <v>42</v>
      </c>
      <c r="C6" s="110">
        <v>71.5</v>
      </c>
      <c r="F6" s="115"/>
    </row>
    <row r="7" spans="1:6" ht="15.75" x14ac:dyDescent="0.2">
      <c r="B7" s="1" t="s">
        <v>52</v>
      </c>
      <c r="C7" s="110">
        <v>84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E8EB-D5FF-5D42-A400-379AA6C58BB2}">
  <sheetPr codeName="Sheet1"/>
  <dimension ref="A2:A8"/>
  <sheetViews>
    <sheetView workbookViewId="0">
      <selection activeCell="C12" sqref="C12"/>
    </sheetView>
  </sheetViews>
  <sheetFormatPr baseColWidth="10" defaultRowHeight="12.75" x14ac:dyDescent="0.2"/>
  <cols>
    <col min="1" max="1" width="26.140625" customWidth="1"/>
  </cols>
  <sheetData>
    <row r="2" spans="1:1" ht="20.25" x14ac:dyDescent="0.3">
      <c r="A2" s="117" t="s">
        <v>188</v>
      </c>
    </row>
    <row r="4" spans="1:1" ht="15" x14ac:dyDescent="0.2">
      <c r="A4" s="9" t="s">
        <v>188</v>
      </c>
    </row>
    <row r="5" spans="1:1" ht="15" x14ac:dyDescent="0.2">
      <c r="A5" s="116" t="s">
        <v>170</v>
      </c>
    </row>
    <row r="6" spans="1:1" ht="15" x14ac:dyDescent="0.2">
      <c r="A6" s="116" t="s">
        <v>185</v>
      </c>
    </row>
    <row r="7" spans="1:1" ht="15" x14ac:dyDescent="0.2">
      <c r="A7" s="116" t="s">
        <v>186</v>
      </c>
    </row>
    <row r="8" spans="1:1" ht="15" x14ac:dyDescent="0.2">
      <c r="A8" s="116" t="s">
        <v>187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C6175-FC26-9F47-8131-315D23AD3008}">
  <sheetPr codeName="Feuil5"/>
  <dimension ref="A1:U2"/>
  <sheetViews>
    <sheetView workbookViewId="0">
      <selection activeCell="D9" sqref="D9"/>
    </sheetView>
  </sheetViews>
  <sheetFormatPr baseColWidth="10" defaultRowHeight="12.75" x14ac:dyDescent="0.2"/>
  <cols>
    <col min="2" max="2" width="22.28515625" customWidth="1"/>
    <col min="3" max="3" width="13.140625" customWidth="1"/>
    <col min="4" max="5" width="32.85546875" style="122" customWidth="1"/>
    <col min="6" max="6" width="10.85546875" style="122"/>
    <col min="7" max="7" width="13.7109375" style="122" customWidth="1"/>
    <col min="8" max="8" width="20.140625" style="122" customWidth="1"/>
    <col min="9" max="9" width="10.85546875" style="122"/>
    <col min="10" max="10" width="17.85546875" style="122" customWidth="1"/>
    <col min="11" max="11" width="29" style="122" customWidth="1"/>
    <col min="12" max="12" width="22.7109375" style="122" customWidth="1"/>
    <col min="13" max="13" width="15.7109375" style="122" customWidth="1"/>
    <col min="14" max="14" width="10.85546875" style="122"/>
    <col min="15" max="15" width="13" style="122" customWidth="1"/>
    <col min="16" max="17" width="10.85546875" style="122"/>
    <col min="18" max="19" width="18.28515625" style="122" customWidth="1"/>
    <col min="20" max="20" width="25.140625" style="122" customWidth="1"/>
    <col min="21" max="21" width="18" style="122" customWidth="1"/>
  </cols>
  <sheetData>
    <row r="1" spans="1:21" ht="20.25" x14ac:dyDescent="0.3">
      <c r="A1" s="120" t="s">
        <v>189</v>
      </c>
      <c r="B1" s="120" t="s">
        <v>190</v>
      </c>
      <c r="C1" s="120" t="s">
        <v>191</v>
      </c>
      <c r="D1" s="123" t="s">
        <v>200</v>
      </c>
      <c r="E1" s="123" t="s">
        <v>201</v>
      </c>
      <c r="F1" s="123" t="s">
        <v>53</v>
      </c>
      <c r="G1" s="123" t="s">
        <v>4</v>
      </c>
      <c r="H1" s="123" t="s">
        <v>192</v>
      </c>
      <c r="I1" s="123" t="s">
        <v>14</v>
      </c>
      <c r="J1" s="123" t="s">
        <v>12</v>
      </c>
      <c r="K1" s="123" t="s">
        <v>197</v>
      </c>
      <c r="L1" s="123" t="s">
        <v>177</v>
      </c>
      <c r="M1" s="123" t="s">
        <v>198</v>
      </c>
      <c r="N1" s="123" t="s">
        <v>199</v>
      </c>
      <c r="O1" s="123" t="s">
        <v>43</v>
      </c>
      <c r="P1" s="123" t="s">
        <v>193</v>
      </c>
      <c r="Q1" s="123" t="s">
        <v>194</v>
      </c>
      <c r="R1" s="123" t="s">
        <v>195</v>
      </c>
      <c r="S1" s="123" t="s">
        <v>202</v>
      </c>
      <c r="T1" s="123" t="s">
        <v>196</v>
      </c>
      <c r="U1" s="123" t="s">
        <v>37</v>
      </c>
    </row>
    <row r="2" spans="1:21" x14ac:dyDescent="0.2">
      <c r="A2" t="str">
        <f ca="1">'Feuille Calcul'!I3</f>
        <v>23-567 - Toiture invités (nouvelle feuille)</v>
      </c>
      <c r="B2" t="str">
        <f>Soumission!D21</f>
        <v>Résidence Joelle Naulin</v>
      </c>
      <c r="C2" s="121">
        <f>DATEVALUE(MID('Feuille Calcul'!H2, FIND(",", 'Feuille Calcul'!H2) + 2, LEN('Feuille Calcul'!H2)))</f>
        <v>45281</v>
      </c>
      <c r="D2" s="122">
        <f>LivraisonFournisseur</f>
        <v>75</v>
      </c>
      <c r="E2" s="122">
        <f>Transport</f>
        <v>0</v>
      </c>
      <c r="F2" s="122">
        <f>Pliage</f>
        <v>300</v>
      </c>
      <c r="G2" s="122">
        <f>Scellant</f>
        <v>133</v>
      </c>
      <c r="H2" s="122">
        <f>ADMIN</f>
        <v>700</v>
      </c>
      <c r="I2" s="122">
        <f>Outils</f>
        <v>210</v>
      </c>
      <c r="J2" s="122">
        <f>Mobilisation</f>
        <v>450</v>
      </c>
      <c r="K2" s="122">
        <f>FraisDeplacement</f>
        <v>360</v>
      </c>
      <c r="L2" s="122">
        <f>Remorquage</f>
        <v>600</v>
      </c>
      <c r="M2" s="122">
        <f>Machinerie</f>
        <v>500</v>
      </c>
      <c r="N2" s="122">
        <f>C.P</f>
        <v>700</v>
      </c>
      <c r="O2" s="122">
        <f>ADMPro</f>
        <v>5811.4143999999997</v>
      </c>
      <c r="P2" s="122">
        <f>Jours</f>
        <v>5.54</v>
      </c>
      <c r="Q2" s="122">
        <f>Heures</f>
        <v>85.68</v>
      </c>
      <c r="R2" s="122">
        <f>JourHomme</f>
        <v>10.08</v>
      </c>
      <c r="S2" s="122">
        <f>SousTotal</f>
        <v>20039.36</v>
      </c>
      <c r="T2" s="122">
        <f>TotalInstallation</f>
        <v>6597.3600000000006</v>
      </c>
      <c r="U2" s="122">
        <f>GrandTotal</f>
        <v>25850.774400000002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A25" sqref="A25"/>
    </sheetView>
  </sheetViews>
  <sheetFormatPr baseColWidth="10" defaultRowHeight="12.75" x14ac:dyDescent="0.2"/>
  <cols>
    <col min="1" max="1" width="41.42578125" customWidth="1"/>
    <col min="2" max="2" width="69.28515625" customWidth="1"/>
    <col min="3" max="3" width="13" customWidth="1"/>
    <col min="4" max="4" width="13.140625" customWidth="1"/>
    <col min="5" max="5" width="27.42578125" customWidth="1"/>
    <col min="6" max="6" width="14.42578125" customWidth="1"/>
    <col min="9" max="9" width="40.28515625" customWidth="1"/>
  </cols>
  <sheetData>
    <row r="1" spans="1:9" ht="15.75" x14ac:dyDescent="0.2">
      <c r="A1" t="s">
        <v>60</v>
      </c>
      <c r="B1" s="1" t="s">
        <v>25</v>
      </c>
      <c r="C1" s="1" t="s">
        <v>16</v>
      </c>
      <c r="D1" s="1" t="s">
        <v>26</v>
      </c>
      <c r="E1" s="7"/>
      <c r="F1" s="7"/>
      <c r="G1" s="7"/>
      <c r="H1" s="7"/>
      <c r="I1" s="94"/>
    </row>
    <row r="2" spans="1:9" ht="15.75" x14ac:dyDescent="0.2">
      <c r="A2" t="s">
        <v>62</v>
      </c>
      <c r="B2" s="1" t="s">
        <v>63</v>
      </c>
      <c r="C2" s="1" t="s">
        <v>64</v>
      </c>
      <c r="E2" s="7"/>
      <c r="F2" s="7"/>
      <c r="G2" s="4"/>
      <c r="H2" s="7"/>
      <c r="I2" s="94"/>
    </row>
    <row r="3" spans="1:9" ht="15.75" x14ac:dyDescent="0.2">
      <c r="A3" t="s">
        <v>65</v>
      </c>
      <c r="B3" s="1" t="s">
        <v>66</v>
      </c>
      <c r="C3" s="1" t="s">
        <v>67</v>
      </c>
      <c r="D3" s="1" t="s">
        <v>68</v>
      </c>
      <c r="E3" s="8"/>
      <c r="F3" s="8"/>
      <c r="G3" s="8"/>
      <c r="H3" s="8"/>
      <c r="I3" s="94"/>
    </row>
    <row r="4" spans="1:9" x14ac:dyDescent="0.2">
      <c r="A4" t="s">
        <v>69</v>
      </c>
      <c r="B4" s="1" t="s">
        <v>70</v>
      </c>
      <c r="C4" s="1" t="s">
        <v>71</v>
      </c>
      <c r="D4" s="1" t="s">
        <v>72</v>
      </c>
      <c r="E4" s="8"/>
      <c r="F4" s="8"/>
      <c r="G4" s="8"/>
      <c r="H4" s="8"/>
      <c r="I4" s="4"/>
    </row>
    <row r="5" spans="1:9" x14ac:dyDescent="0.2">
      <c r="A5" t="s">
        <v>73</v>
      </c>
      <c r="B5" t="s">
        <v>74</v>
      </c>
      <c r="C5" s="105">
        <v>8199439836</v>
      </c>
      <c r="E5" s="5"/>
      <c r="F5" s="8"/>
      <c r="G5" s="8"/>
      <c r="H5" s="8"/>
      <c r="I5" s="8"/>
    </row>
    <row r="6" spans="1:9" x14ac:dyDescent="0.2">
      <c r="A6" t="s">
        <v>75</v>
      </c>
      <c r="B6" s="1" t="s">
        <v>76</v>
      </c>
      <c r="C6" s="1" t="s">
        <v>77</v>
      </c>
    </row>
    <row r="7" spans="1:9" x14ac:dyDescent="0.2">
      <c r="A7" t="s">
        <v>61</v>
      </c>
      <c r="B7" s="1" t="s">
        <v>78</v>
      </c>
      <c r="C7" s="1" t="s">
        <v>79</v>
      </c>
      <c r="D7" s="1" t="s">
        <v>80</v>
      </c>
    </row>
    <row r="8" spans="1:9" x14ac:dyDescent="0.2">
      <c r="A8" t="s">
        <v>81</v>
      </c>
      <c r="B8" s="1" t="s">
        <v>82</v>
      </c>
      <c r="C8" s="1" t="s">
        <v>83</v>
      </c>
    </row>
    <row r="9" spans="1:9" x14ac:dyDescent="0.2">
      <c r="A9" t="s">
        <v>84</v>
      </c>
      <c r="B9" s="1" t="s">
        <v>85</v>
      </c>
      <c r="C9" s="1" t="s">
        <v>86</v>
      </c>
      <c r="D9" s="1" t="s">
        <v>87</v>
      </c>
    </row>
    <row r="10" spans="1:9" x14ac:dyDescent="0.2">
      <c r="A10" t="s">
        <v>88</v>
      </c>
      <c r="B10" s="106" t="s">
        <v>89</v>
      </c>
      <c r="C10" s="1" t="s">
        <v>90</v>
      </c>
    </row>
    <row r="11" spans="1:9" x14ac:dyDescent="0.2">
      <c r="A11" s="1" t="s">
        <v>165</v>
      </c>
      <c r="B11" s="1" t="s">
        <v>166</v>
      </c>
      <c r="C11" s="1" t="s">
        <v>167</v>
      </c>
    </row>
    <row r="12" spans="1:9" x14ac:dyDescent="0.2">
      <c r="A12" t="s">
        <v>91</v>
      </c>
      <c r="B12" s="1" t="s">
        <v>92</v>
      </c>
      <c r="C12" s="1" t="s">
        <v>93</v>
      </c>
      <c r="D12" s="1" t="s">
        <v>28</v>
      </c>
    </row>
    <row r="13" spans="1:9" x14ac:dyDescent="0.2">
      <c r="A13" t="s">
        <v>94</v>
      </c>
      <c r="B13" s="1" t="s">
        <v>95</v>
      </c>
      <c r="C13" s="1" t="s">
        <v>96</v>
      </c>
      <c r="D13" s="1" t="s">
        <v>97</v>
      </c>
    </row>
    <row r="14" spans="1:9" x14ac:dyDescent="0.2">
      <c r="A14" t="s">
        <v>98</v>
      </c>
      <c r="B14" s="106" t="s">
        <v>99</v>
      </c>
      <c r="C14" s="1" t="s">
        <v>100</v>
      </c>
    </row>
    <row r="15" spans="1:9" x14ac:dyDescent="0.2">
      <c r="A15" t="s">
        <v>101</v>
      </c>
      <c r="B15" s="1" t="s">
        <v>102</v>
      </c>
      <c r="C15" s="1" t="s">
        <v>103</v>
      </c>
      <c r="D15" s="1" t="s">
        <v>104</v>
      </c>
    </row>
    <row r="16" spans="1:9" x14ac:dyDescent="0.2">
      <c r="A16" t="s">
        <v>105</v>
      </c>
      <c r="B16" s="1" t="s">
        <v>106</v>
      </c>
      <c r="C16" s="1" t="s">
        <v>107</v>
      </c>
    </row>
    <row r="17" spans="1:4" x14ac:dyDescent="0.2">
      <c r="A17" t="s">
        <v>108</v>
      </c>
      <c r="B17" s="106" t="s">
        <v>109</v>
      </c>
      <c r="C17" s="1" t="s">
        <v>110</v>
      </c>
    </row>
    <row r="18" spans="1:4" x14ac:dyDescent="0.2">
      <c r="A18" t="s">
        <v>111</v>
      </c>
      <c r="B18" s="1" t="s">
        <v>112</v>
      </c>
      <c r="C18" s="1" t="s">
        <v>113</v>
      </c>
      <c r="D18" s="1" t="s">
        <v>114</v>
      </c>
    </row>
    <row r="19" spans="1:4" x14ac:dyDescent="0.2">
      <c r="A19" t="s">
        <v>115</v>
      </c>
      <c r="B19" s="1" t="s">
        <v>116</v>
      </c>
      <c r="C19" s="1" t="s">
        <v>117</v>
      </c>
      <c r="D19" s="1" t="s">
        <v>118</v>
      </c>
    </row>
    <row r="20" spans="1:4" x14ac:dyDescent="0.2">
      <c r="A20" s="1" t="s">
        <v>119</v>
      </c>
      <c r="B20" s="1" t="s">
        <v>120</v>
      </c>
      <c r="C20" s="1" t="s">
        <v>121</v>
      </c>
    </row>
    <row r="21" spans="1:4" x14ac:dyDescent="0.2">
      <c r="A21" t="s">
        <v>122</v>
      </c>
      <c r="B21" s="1" t="s">
        <v>123</v>
      </c>
      <c r="C21" s="1" t="s">
        <v>124</v>
      </c>
    </row>
    <row r="22" spans="1:4" x14ac:dyDescent="0.2">
      <c r="A22" t="s">
        <v>60</v>
      </c>
      <c r="D22" s="1"/>
    </row>
    <row r="23" spans="1:4" x14ac:dyDescent="0.2">
      <c r="A23" s="111" t="s">
        <v>125</v>
      </c>
      <c r="B23" s="106" t="s">
        <v>126</v>
      </c>
      <c r="C23" t="s">
        <v>127</v>
      </c>
    </row>
    <row r="24" spans="1:4" x14ac:dyDescent="0.2">
      <c r="A24" s="107" t="s">
        <v>128</v>
      </c>
      <c r="B24" s="1" t="s">
        <v>129</v>
      </c>
      <c r="C24" s="1" t="s">
        <v>130</v>
      </c>
    </row>
    <row r="25" spans="1:4" x14ac:dyDescent="0.2">
      <c r="A25" s="107" t="s">
        <v>131</v>
      </c>
      <c r="B25" s="1" t="s">
        <v>132</v>
      </c>
      <c r="C25" s="1" t="s">
        <v>133</v>
      </c>
      <c r="D25" s="1" t="s">
        <v>134</v>
      </c>
    </row>
    <row r="26" spans="1:4" x14ac:dyDescent="0.2">
      <c r="A26" s="107" t="s">
        <v>135</v>
      </c>
      <c r="B26" s="1" t="s">
        <v>136</v>
      </c>
      <c r="C26" s="1" t="s">
        <v>137</v>
      </c>
    </row>
    <row r="27" spans="1:4" x14ac:dyDescent="0.2">
      <c r="A27" s="111" t="s">
        <v>138</v>
      </c>
      <c r="B27" s="1" t="s">
        <v>139</v>
      </c>
      <c r="C27" s="1" t="s">
        <v>140</v>
      </c>
    </row>
    <row r="28" spans="1:4" x14ac:dyDescent="0.2">
      <c r="A28" s="107" t="s">
        <v>141</v>
      </c>
      <c r="B28" t="s">
        <v>142</v>
      </c>
      <c r="C28" t="s">
        <v>143</v>
      </c>
    </row>
    <row r="29" spans="1:4" x14ac:dyDescent="0.2">
      <c r="A29" s="107" t="s">
        <v>144</v>
      </c>
      <c r="B29" t="s">
        <v>145</v>
      </c>
      <c r="C29" s="1" t="s">
        <v>146</v>
      </c>
    </row>
    <row r="30" spans="1:4" x14ac:dyDescent="0.2">
      <c r="A30" s="107" t="s">
        <v>147</v>
      </c>
      <c r="B30" t="s">
        <v>148</v>
      </c>
      <c r="C30" s="1" t="s">
        <v>149</v>
      </c>
    </row>
    <row r="31" spans="1:4" x14ac:dyDescent="0.2">
      <c r="A31" s="107" t="s">
        <v>150</v>
      </c>
      <c r="B31" t="s">
        <v>151</v>
      </c>
      <c r="C31" s="1" t="s">
        <v>152</v>
      </c>
    </row>
    <row r="32" spans="1:4" x14ac:dyDescent="0.2">
      <c r="A32" s="108" t="s">
        <v>153</v>
      </c>
      <c r="B32" s="1" t="s">
        <v>154</v>
      </c>
      <c r="C32" s="1" t="s">
        <v>155</v>
      </c>
      <c r="D32" s="1" t="s">
        <v>156</v>
      </c>
    </row>
    <row r="33" spans="1:4" x14ac:dyDescent="0.2">
      <c r="A33" s="108" t="s">
        <v>157</v>
      </c>
      <c r="B33" s="106" t="s">
        <v>158</v>
      </c>
      <c r="C33" s="106" t="s">
        <v>159</v>
      </c>
    </row>
    <row r="34" spans="1:4" x14ac:dyDescent="0.2">
      <c r="A34" t="s">
        <v>160</v>
      </c>
      <c r="B34" s="1" t="s">
        <v>161</v>
      </c>
      <c r="C34" s="1" t="s">
        <v>162</v>
      </c>
      <c r="D34" s="1" t="s">
        <v>163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5E2F77-1A50-462C-8F1D-D4C2ACBF3B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22</vt:i4>
      </vt:variant>
    </vt:vector>
  </HeadingPairs>
  <TitlesOfParts>
    <vt:vector size="28" baseType="lpstr">
      <vt:lpstr>Feuille Calcul</vt:lpstr>
      <vt:lpstr>Soumission</vt:lpstr>
      <vt:lpstr>!</vt:lpstr>
      <vt:lpstr>Utilitaires</vt:lpstr>
      <vt:lpstr>Sommaire</vt:lpstr>
      <vt:lpstr>ListeClient</vt:lpstr>
      <vt:lpstr>ADMIN</vt:lpstr>
      <vt:lpstr>ADMPro</vt:lpstr>
      <vt:lpstr>ListeClient!Adresse</vt:lpstr>
      <vt:lpstr>C.P</vt:lpstr>
      <vt:lpstr>ListeClient!Fax</vt:lpstr>
      <vt:lpstr>FraisDeplacement</vt:lpstr>
      <vt:lpstr>GrandTotal</vt:lpstr>
      <vt:lpstr>Heures</vt:lpstr>
      <vt:lpstr>JourHomme</vt:lpstr>
      <vt:lpstr>Jours</vt:lpstr>
      <vt:lpstr>ListeClient!Liste_Client</vt:lpstr>
      <vt:lpstr>LivraisonFournisseur</vt:lpstr>
      <vt:lpstr>Machinerie</vt:lpstr>
      <vt:lpstr>Mobilisation</vt:lpstr>
      <vt:lpstr>ListeClient!No._Téléphone</vt:lpstr>
      <vt:lpstr>Outils</vt:lpstr>
      <vt:lpstr>Pliage</vt:lpstr>
      <vt:lpstr>Remorquage</vt:lpstr>
      <vt:lpstr>Scellant</vt:lpstr>
      <vt:lpstr>SousTotal</vt:lpstr>
      <vt:lpstr>TotalInstallation</vt:lpstr>
      <vt:lpstr>Transport</vt:lpstr>
    </vt:vector>
  </TitlesOfParts>
  <Company>Aluminium Ascot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 Côté</dc:creator>
  <cp:lastModifiedBy>Marie St-Pierre</cp:lastModifiedBy>
  <cp:lastPrinted>2023-12-21T20:50:23Z</cp:lastPrinted>
  <dcterms:created xsi:type="dcterms:W3CDTF">1997-03-22T17:16:22Z</dcterms:created>
  <dcterms:modified xsi:type="dcterms:W3CDTF">2023-12-21T20:50:30Z</dcterms:modified>
  <cp:contentStatus/>
</cp:coreProperties>
</file>